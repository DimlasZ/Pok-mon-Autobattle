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Balancing Data\"/>
    </mc:Choice>
  </mc:AlternateContent>
  <xr:revisionPtr revIDLastSave="0" documentId="13_ncr:1_{20AC390C-BA52-4D73-A25F-25D4D605CB6F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Gen1 Pokédex" sheetId="1" r:id="rId1"/>
    <sheet name="Overview" sheetId="3" r:id="rId2"/>
  </sheets>
  <definedNames>
    <definedName name="_xlnm._FilterDatabase" localSheetId="0" hidden="1">'Gen1 Pokédex'!$A$1:$B$146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0" i="3" l="1"/>
  <c r="N78" i="3"/>
  <c r="N77" i="3"/>
  <c r="N76" i="3"/>
  <c r="N75" i="3"/>
  <c r="N74" i="3"/>
  <c r="N73" i="3"/>
  <c r="N79" i="3" s="1"/>
  <c r="N70" i="3"/>
  <c r="N68" i="3"/>
  <c r="N67" i="3"/>
  <c r="N66" i="3"/>
  <c r="N65" i="3"/>
  <c r="N64" i="3"/>
  <c r="N63" i="3"/>
  <c r="N69" i="3" s="1"/>
  <c r="N60" i="3"/>
  <c r="N58" i="3"/>
  <c r="N57" i="3"/>
  <c r="N56" i="3"/>
  <c r="N55" i="3"/>
  <c r="N54" i="3"/>
  <c r="N53" i="3"/>
  <c r="N59" i="3" s="1"/>
  <c r="N50" i="3"/>
  <c r="N48" i="3"/>
  <c r="N47" i="3"/>
  <c r="N46" i="3"/>
  <c r="N45" i="3"/>
  <c r="N44" i="3"/>
  <c r="N43" i="3"/>
  <c r="N49" i="3" s="1"/>
  <c r="N40" i="3"/>
  <c r="N38" i="3"/>
  <c r="N37" i="3"/>
  <c r="N36" i="3"/>
  <c r="N35" i="3"/>
  <c r="N34" i="3"/>
  <c r="N33" i="3"/>
  <c r="N39" i="3" s="1"/>
  <c r="N30" i="3"/>
  <c r="N28" i="3"/>
  <c r="N27" i="3"/>
  <c r="N26" i="3"/>
  <c r="N25" i="3"/>
  <c r="N24" i="3"/>
  <c r="N23" i="3"/>
  <c r="N29" i="3" s="1"/>
  <c r="N20" i="3"/>
  <c r="N18" i="3"/>
  <c r="N17" i="3"/>
  <c r="N16" i="3"/>
  <c r="N15" i="3"/>
  <c r="N14" i="3"/>
  <c r="N13" i="3"/>
  <c r="N19" i="3" s="1"/>
  <c r="H9" i="3"/>
  <c r="G9" i="3"/>
  <c r="F9" i="3"/>
  <c r="E9" i="3"/>
  <c r="D9" i="3"/>
  <c r="C9" i="3"/>
  <c r="B9" i="3"/>
  <c r="I8" i="3"/>
  <c r="I7" i="3"/>
  <c r="I6" i="3"/>
  <c r="I5" i="3"/>
  <c r="I4" i="3"/>
  <c r="I3" i="3"/>
  <c r="I9" i="3" l="1"/>
</calcChain>
</file>

<file path=xl/sharedStrings.xml><?xml version="1.0" encoding="utf-8"?>
<sst xmlns="http://schemas.openxmlformats.org/spreadsheetml/2006/main" count="386" uniqueCount="220">
  <si>
    <t>Name</t>
  </si>
  <si>
    <t>Tier</t>
  </si>
  <si>
    <t>Bulbasaur</t>
  </si>
  <si>
    <t>Grass</t>
  </si>
  <si>
    <t>Ivysaur</t>
  </si>
  <si>
    <t>Venusaur</t>
  </si>
  <si>
    <t>Charmander</t>
  </si>
  <si>
    <t>Fire</t>
  </si>
  <si>
    <t>Charmeleon</t>
  </si>
  <si>
    <t>Charizard</t>
  </si>
  <si>
    <t>Flying</t>
  </si>
  <si>
    <t>Squirtle</t>
  </si>
  <si>
    <t>Water</t>
  </si>
  <si>
    <t>Wartortle</t>
  </si>
  <si>
    <t>Blastoise</t>
  </si>
  <si>
    <t>Pidgey</t>
  </si>
  <si>
    <t>Normal</t>
  </si>
  <si>
    <t>Pidgeotto</t>
  </si>
  <si>
    <t>Pidgeot</t>
  </si>
  <si>
    <t>Rattata</t>
  </si>
  <si>
    <t>Raticate</t>
  </si>
  <si>
    <t>Spearow</t>
  </si>
  <si>
    <t>Fearow</t>
  </si>
  <si>
    <t>Pikachu</t>
  </si>
  <si>
    <t>Electric</t>
  </si>
  <si>
    <t>Raichu</t>
  </si>
  <si>
    <t>Sandshrew</t>
  </si>
  <si>
    <t>Ground</t>
  </si>
  <si>
    <t>Sandslash</t>
  </si>
  <si>
    <t>Vulpix</t>
  </si>
  <si>
    <t>Ninetales</t>
  </si>
  <si>
    <t>Zubat</t>
  </si>
  <si>
    <t>Golbat</t>
  </si>
  <si>
    <t>Oddish</t>
  </si>
  <si>
    <t>Gloom</t>
  </si>
  <si>
    <t>Vileplume</t>
  </si>
  <si>
    <t>Diglett</t>
  </si>
  <si>
    <t>Dugtrio</t>
  </si>
  <si>
    <t>Meowth</t>
  </si>
  <si>
    <t>Persian</t>
  </si>
  <si>
    <t>Psyduck</t>
  </si>
  <si>
    <t>Golduck</t>
  </si>
  <si>
    <t>Growlithe</t>
  </si>
  <si>
    <t>Arcanine</t>
  </si>
  <si>
    <t>Tentacool</t>
  </si>
  <si>
    <t>Tentacruel</t>
  </si>
  <si>
    <t>Geodude</t>
  </si>
  <si>
    <t>Graveler</t>
  </si>
  <si>
    <t>Golem</t>
  </si>
  <si>
    <t>Ponyta</t>
  </si>
  <si>
    <t>Rapidash</t>
  </si>
  <si>
    <t>Slowpoke</t>
  </si>
  <si>
    <t>Slowbro</t>
  </si>
  <si>
    <t>Magnemite</t>
  </si>
  <si>
    <t>Magneton</t>
  </si>
  <si>
    <t>Onix</t>
  </si>
  <si>
    <t>Voltorb</t>
  </si>
  <si>
    <t>Electrode</t>
  </si>
  <si>
    <t>Exeggcute</t>
  </si>
  <si>
    <t>Exeggutor</t>
  </si>
  <si>
    <t>Cubone</t>
  </si>
  <si>
    <t>Marowak</t>
  </si>
  <si>
    <t>Chansey</t>
  </si>
  <si>
    <t>Staryu</t>
  </si>
  <si>
    <t>Starmie</t>
  </si>
  <si>
    <t>Scyther</t>
  </si>
  <si>
    <t>Electabuzz</t>
  </si>
  <si>
    <t>Magmar</t>
  </si>
  <si>
    <t>Tauros</t>
  </si>
  <si>
    <t>Magikarp</t>
  </si>
  <si>
    <t>Gyarados</t>
  </si>
  <si>
    <t>Eevee</t>
  </si>
  <si>
    <t>Vaporeon</t>
  </si>
  <si>
    <t>Jolteon</t>
  </si>
  <si>
    <t>Flareon</t>
  </si>
  <si>
    <t>Porygon</t>
  </si>
  <si>
    <t>Snorlax</t>
  </si>
  <si>
    <t>Moltres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</si>
  <si>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</si>
  <si>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</si>
  <si>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</si>
  <si>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</si>
  <si>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</si>
  <si>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</si>
  <si>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</si>
  <si>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</si>
  <si>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</si>
  <si>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Hoothoot</t>
  </si>
  <si>
    <t>Noctowl</t>
  </si>
  <si>
    <t>Crobat</t>
  </si>
  <si>
    <t>Chinchou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</si>
  <si>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</si>
  <si>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</si>
  <si>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</si>
  <si>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</si>
  <si>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</si>
  <si>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</si>
  <si>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</si>
  <si>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</si>
  <si>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Sunkern</t>
  </si>
  <si>
    <t>Sunflora</t>
  </si>
  <si>
    <t>Girafarig</t>
  </si>
  <si>
    <t>Steelix</t>
  </si>
  <si>
    <t>Scizor</t>
  </si>
  <si>
    <t>Slugma</t>
  </si>
  <si>
    <t>Magcargo</t>
  </si>
  <si>
    <t>Mantine</t>
  </si>
  <si>
    <t>Skarmory</t>
  </si>
  <si>
    <t>Phanpy</t>
  </si>
  <si>
    <t>Donphan</t>
  </si>
  <si>
    <t>Porygon2</t>
  </si>
  <si>
    <t>Smeargle</t>
  </si>
  <si>
    <t>Elekid</t>
  </si>
  <si>
    <t>Magby</t>
  </si>
  <si>
    <t>Miltank</t>
  </si>
  <si>
    <t>Blissey</t>
  </si>
  <si>
    <t>Raikou</t>
  </si>
  <si>
    <t>Suicune</t>
  </si>
  <si>
    <t>Larvitar</t>
  </si>
  <si>
    <t>Pupitar</t>
  </si>
  <si>
    <t>Tyranitar</t>
  </si>
  <si>
    <t>Lugia</t>
  </si>
  <si>
    <t>Celebi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</si>
  <si>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</si>
  <si>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</si>
  <si>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</si>
  <si>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</si>
  <si>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</si>
  <si>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</si>
  <si>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</si>
  <si>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</si>
  <si>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</si>
  <si>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Wingull</t>
  </si>
  <si>
    <t>Pelipper</t>
  </si>
  <si>
    <t>Slakoth</t>
  </si>
  <si>
    <t>Vigoroth</t>
  </si>
  <si>
    <t>Slaking</t>
  </si>
  <si>
    <t>Whismur</t>
  </si>
  <si>
    <t>Loudred</t>
  </si>
  <si>
    <t>Exploud</t>
  </si>
  <si>
    <t>Electrike</t>
  </si>
  <si>
    <t>Manectric</t>
  </si>
  <si>
    <t>Plusle</t>
  </si>
  <si>
    <t>Minun</t>
  </si>
  <si>
    <t>Numel</t>
  </si>
  <si>
    <t>Camerupt</t>
  </si>
  <si>
    <t>Trapinch</t>
  </si>
  <si>
    <t>Vibrava</t>
  </si>
  <si>
    <t>Flygon</t>
  </si>
  <si>
    <t>Cacnea</t>
  </si>
  <si>
    <t>Cacturne</t>
  </si>
  <si>
    <t>Lileep</t>
  </si>
  <si>
    <t>Cradily</t>
  </si>
  <si>
    <t>Tropius</t>
  </si>
  <si>
    <t>Groudon</t>
  </si>
  <si>
    <t>Starter1</t>
  </si>
  <si>
    <t>Starter2</t>
  </si>
  <si>
    <t>Starter3</t>
  </si>
  <si>
    <t>Sunteam1</t>
  </si>
  <si>
    <t>Sunteam2</t>
  </si>
  <si>
    <t>Sunteam3</t>
  </si>
  <si>
    <t>Sandteam1</t>
  </si>
  <si>
    <t>Leechtank</t>
  </si>
  <si>
    <t>Legendary</t>
  </si>
  <si>
    <t>?</t>
  </si>
  <si>
    <t>Bulba</t>
  </si>
  <si>
    <t>oddish</t>
  </si>
  <si>
    <t>egg</t>
  </si>
  <si>
    <t>Lilleep</t>
  </si>
  <si>
    <t>Sunteam4</t>
  </si>
  <si>
    <t>Sweeper</t>
  </si>
  <si>
    <t>FlameTank</t>
  </si>
  <si>
    <t>Intimitade</t>
  </si>
  <si>
    <t>Flameburst</t>
  </si>
  <si>
    <t>Eeveelution</t>
  </si>
  <si>
    <t>Torich</t>
  </si>
  <si>
    <t>Growlith</t>
  </si>
  <si>
    <t>Flaeron</t>
  </si>
  <si>
    <t>Rainteam1</t>
  </si>
  <si>
    <t>Rainteam2</t>
  </si>
  <si>
    <t>Rainteam3 / Healer3</t>
  </si>
  <si>
    <t>Huge P.</t>
  </si>
  <si>
    <t>Investment</t>
  </si>
  <si>
    <t>Magickarp</t>
  </si>
  <si>
    <t>Vapereon</t>
  </si>
  <si>
    <t>Healer2</t>
  </si>
  <si>
    <t>Stat Monster</t>
  </si>
  <si>
    <t>Tank</t>
  </si>
  <si>
    <t>EntryHaz</t>
  </si>
  <si>
    <t>Support</t>
  </si>
  <si>
    <t>Sycther</t>
  </si>
  <si>
    <t>Suicider</t>
  </si>
  <si>
    <t>tank</t>
  </si>
  <si>
    <t>Rainteam4</t>
  </si>
  <si>
    <t>Statmonster</t>
  </si>
  <si>
    <t>Team</t>
  </si>
  <si>
    <t>pikachu</t>
  </si>
  <si>
    <t>Volorb</t>
  </si>
  <si>
    <t>Minum</t>
  </si>
  <si>
    <t>Sandteam2</t>
  </si>
  <si>
    <t>Sandteam4</t>
  </si>
  <si>
    <t>Sturdy</t>
  </si>
  <si>
    <t>Weak Armor </t>
  </si>
  <si>
    <t>Stealth Rock</t>
  </si>
  <si>
    <t>Sandteam3</t>
  </si>
  <si>
    <t>Trample</t>
  </si>
  <si>
    <t>Battle Armor</t>
  </si>
  <si>
    <t>Suport</t>
  </si>
  <si>
    <t>Pick Up</t>
  </si>
  <si>
    <t>Healer4</t>
  </si>
  <si>
    <t>support</t>
  </si>
  <si>
    <t>+dmg for faints</t>
  </si>
  <si>
    <t>Healer3</t>
  </si>
  <si>
    <t>Sticky Web</t>
  </si>
  <si>
    <t>Speed+ after hit</t>
  </si>
  <si>
    <t>Trick room</t>
  </si>
  <si>
    <t>Healer5</t>
  </si>
  <si>
    <t>Wingul</t>
  </si>
  <si>
    <t>Water tank</t>
  </si>
  <si>
    <t>guts/Sandteam4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</si>
</sst>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D6E4F0"/>
      </patternFill>
    </fill>
    <fill>
      <patternFill patternType="solid">
        <fgColor rgb="FFFF6B35"/>
      </patternFill>
    </fill>
    <fill>
      <patternFill patternType="solid">
        <fgColor rgb="FFA890F0"/>
      </patternFill>
    </fill>
    <fill>
      <patternFill patternType="solid">
        <fgColor rgb="FF4A90D9"/>
      </patternFill>
    </fill>
    <fill>
      <patternFill patternType="solid">
        <fgColor rgb="FFA8A878"/>
      </patternFill>
    </fill>
    <fill>
      <patternFill patternType="solid">
        <fgColor rgb="FFF7D02C"/>
      </patternFill>
    </fill>
    <fill>
      <patternFill patternType="solid">
        <fgColor rgb="FFE0C068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3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46"/>
  <sheetViews>
    <sheetView tabSelected="1" zoomScaleNormal="100" workbookViewId="0">
      <pane ySplit="1" topLeftCell="A2" activePane="bottomLeft" state="frozen"/>
      <selection pane="bottomLeft" activeCell="D75" sqref="D75"/>
    </sheetView>
  </sheetViews>
  <sheetFormatPr defaultColWidth="11.42578125" defaultRowHeight="15" x14ac:dyDescent="0.25"/>
  <cols>
    <col min="1" max="1" width="12.7109375" bestFit="1" customWidth="1"/>
    <col min="2" max="2" width="9.7109375" bestFit="1" customWidth="1"/>
  </cols>
  <sheetData>
    <row r="1" spans="1:2" ht="22.15" customHeight="1" x14ac:dyDescent="0.25">
      <c r="A1" s="1" t="s">
        <v>0</v>
      </c>
      <c r="B1" s="1" t="s">
        <v>1</v>
      </c>
    </row>
    <row r="2" spans="1:2" x14ac:dyDescent="0.25">
      <c r="A2" s="3" t="s">
        <v>2</v>
      </c>
      <c r="B2" s="2">
        <v>1</v>
      </c>
    </row>
    <row r="3" spans="1:2" x14ac:dyDescent="0.25">
      <c r="A3" s="6" t="s">
        <v>6</v>
      </c>
      <c r="B3" s="5">
        <v>1</v>
      </c>
    </row>
    <row r="4" spans="1:2" x14ac:dyDescent="0.25">
      <c r="A4" s="3" t="s">
        <v>11</v>
      </c>
      <c r="B4" s="2">
        <v>1</v>
      </c>
    </row>
    <row r="5" spans="1:2" x14ac:dyDescent="0.25">
      <c r="A5" s="3" t="s">
        <v>19</v>
      </c>
      <c r="B5" s="2">
        <v>1</v>
      </c>
    </row>
    <row r="6" spans="1:2" x14ac:dyDescent="0.25">
      <c r="A6" s="3" t="s">
        <v>75</v>
      </c>
      <c r="B6" s="2">
        <v>1</v>
      </c>
    </row>
    <row r="7" spans="1:2" x14ac:dyDescent="0.25">
      <c r="A7" s="6" t="s">
        <v>78</v>
      </c>
      <c r="B7" s="5">
        <v>1</v>
      </c>
    </row>
    <row r="8" spans="1:2" x14ac:dyDescent="0.25">
      <c r="A8" s="3" t="s">
        <v>81</v>
      </c>
      <c r="B8" s="2">
        <v>1</v>
      </c>
    </row>
    <row r="9" spans="1:2" x14ac:dyDescent="0.25">
      <c r="A9" s="6" t="s">
        <v>84</v>
      </c>
      <c r="B9" s="5">
        <v>1</v>
      </c>
    </row>
    <row r="10" spans="1:2" x14ac:dyDescent="0.25">
      <c r="A10" s="6" t="s">
        <v>123</v>
      </c>
      <c r="B10" s="5">
        <v>1</v>
      </c>
    </row>
    <row r="11" spans="1:2" x14ac:dyDescent="0.25">
      <c r="A11" s="3" t="s">
        <v>126</v>
      </c>
      <c r="B11" s="2">
        <v>1</v>
      </c>
    </row>
    <row r="12" spans="1:2" x14ac:dyDescent="0.25">
      <c r="A12" s="6" t="s">
        <v>129</v>
      </c>
      <c r="B12" s="5">
        <v>1</v>
      </c>
    </row>
    <row r="13" spans="1:2" x14ac:dyDescent="0.25">
      <c r="A13" s="3" t="s">
        <v>134</v>
      </c>
      <c r="B13" s="2">
        <v>1</v>
      </c>
    </row>
    <row r="14" spans="1:2" x14ac:dyDescent="0.25">
      <c r="A14" s="6" t="s">
        <v>15</v>
      </c>
      <c r="B14" s="5">
        <v>2</v>
      </c>
    </row>
    <row r="15" spans="1:2" x14ac:dyDescent="0.25">
      <c r="A15" s="6" t="s">
        <v>20</v>
      </c>
      <c r="B15" s="5">
        <v>2</v>
      </c>
    </row>
    <row r="16" spans="1:2" x14ac:dyDescent="0.25">
      <c r="A16" s="3" t="s">
        <v>23</v>
      </c>
      <c r="B16" s="2">
        <v>2</v>
      </c>
    </row>
    <row r="17" spans="1:2" x14ac:dyDescent="0.25">
      <c r="A17" s="3" t="s">
        <v>29</v>
      </c>
      <c r="B17" s="2">
        <v>2</v>
      </c>
    </row>
    <row r="18" spans="1:2" x14ac:dyDescent="0.25">
      <c r="A18" s="3" t="s">
        <v>31</v>
      </c>
      <c r="B18" s="2">
        <v>2</v>
      </c>
    </row>
    <row r="19" spans="1:2" x14ac:dyDescent="0.25">
      <c r="A19" s="3" t="s">
        <v>33</v>
      </c>
      <c r="B19" s="2">
        <v>2</v>
      </c>
    </row>
    <row r="20" spans="1:2" x14ac:dyDescent="0.25">
      <c r="A20" s="6" t="s">
        <v>36</v>
      </c>
      <c r="B20" s="5">
        <v>2</v>
      </c>
    </row>
    <row r="21" spans="1:2" x14ac:dyDescent="0.25">
      <c r="A21" s="6" t="s">
        <v>38</v>
      </c>
      <c r="B21" s="5">
        <v>2</v>
      </c>
    </row>
    <row r="22" spans="1:2" x14ac:dyDescent="0.25">
      <c r="A22" s="6" t="s">
        <v>44</v>
      </c>
      <c r="B22" s="5">
        <v>2</v>
      </c>
    </row>
    <row r="23" spans="1:2" x14ac:dyDescent="0.25">
      <c r="A23" s="3" t="s">
        <v>51</v>
      </c>
      <c r="B23" s="2">
        <v>2</v>
      </c>
    </row>
    <row r="24" spans="1:2" x14ac:dyDescent="0.25">
      <c r="A24" s="3" t="s">
        <v>69</v>
      </c>
      <c r="B24" s="2">
        <v>2</v>
      </c>
    </row>
    <row r="25" spans="1:2" x14ac:dyDescent="0.25">
      <c r="A25" s="3" t="s">
        <v>71</v>
      </c>
      <c r="B25" s="2">
        <v>2</v>
      </c>
    </row>
    <row r="26" spans="1:2" x14ac:dyDescent="0.25">
      <c r="A26" s="3" t="s">
        <v>79</v>
      </c>
      <c r="B26" s="2">
        <v>2</v>
      </c>
    </row>
    <row r="27" spans="1:2" x14ac:dyDescent="0.25">
      <c r="A27" s="3" t="s">
        <v>93</v>
      </c>
      <c r="B27" s="2">
        <v>2</v>
      </c>
    </row>
    <row r="28" spans="1:2" x14ac:dyDescent="0.25">
      <c r="A28" s="3" t="s">
        <v>99</v>
      </c>
      <c r="B28" s="2">
        <v>2</v>
      </c>
    </row>
    <row r="29" spans="1:2" x14ac:dyDescent="0.25">
      <c r="A29" s="3" t="s">
        <v>108</v>
      </c>
      <c r="B29" s="2">
        <v>2</v>
      </c>
    </row>
    <row r="30" spans="1:2" x14ac:dyDescent="0.25">
      <c r="A30" s="3" t="s">
        <v>112</v>
      </c>
      <c r="B30" s="2">
        <v>2</v>
      </c>
    </row>
    <row r="31" spans="1:2" x14ac:dyDescent="0.25">
      <c r="A31" s="6" t="s">
        <v>113</v>
      </c>
      <c r="B31" s="5">
        <v>2</v>
      </c>
    </row>
    <row r="32" spans="1:2" x14ac:dyDescent="0.25">
      <c r="A32" s="6" t="s">
        <v>118</v>
      </c>
      <c r="B32" s="5">
        <v>2</v>
      </c>
    </row>
    <row r="33" spans="1:2" x14ac:dyDescent="0.25">
      <c r="A33" s="6" t="s">
        <v>127</v>
      </c>
      <c r="B33" s="5">
        <v>2</v>
      </c>
    </row>
    <row r="34" spans="1:2" x14ac:dyDescent="0.25">
      <c r="A34" s="3" t="s">
        <v>130</v>
      </c>
      <c r="B34" s="2">
        <v>2</v>
      </c>
    </row>
    <row r="35" spans="1:2" x14ac:dyDescent="0.25">
      <c r="A35" s="6" t="s">
        <v>132</v>
      </c>
      <c r="B35" s="5">
        <v>2</v>
      </c>
    </row>
    <row r="36" spans="1:2" x14ac:dyDescent="0.25">
      <c r="A36" s="3" t="s">
        <v>137</v>
      </c>
      <c r="B36" s="2">
        <v>2</v>
      </c>
    </row>
    <row r="37" spans="1:2" x14ac:dyDescent="0.25">
      <c r="A37" s="6" t="s">
        <v>144</v>
      </c>
      <c r="B37" s="5">
        <v>2</v>
      </c>
    </row>
    <row r="38" spans="1:2" x14ac:dyDescent="0.25">
      <c r="A38" s="3" t="s">
        <v>149</v>
      </c>
      <c r="B38" s="2">
        <v>2</v>
      </c>
    </row>
    <row r="39" spans="1:2" x14ac:dyDescent="0.25">
      <c r="A39" s="6" t="s">
        <v>4</v>
      </c>
      <c r="B39" s="5">
        <v>3</v>
      </c>
    </row>
    <row r="40" spans="1:2" x14ac:dyDescent="0.25">
      <c r="A40" s="3" t="s">
        <v>8</v>
      </c>
      <c r="B40" s="2">
        <v>3</v>
      </c>
    </row>
    <row r="41" spans="1:2" x14ac:dyDescent="0.25">
      <c r="A41" s="6" t="s">
        <v>13</v>
      </c>
      <c r="B41" s="5">
        <v>3</v>
      </c>
    </row>
    <row r="42" spans="1:2" x14ac:dyDescent="0.25">
      <c r="A42" s="3" t="s">
        <v>21</v>
      </c>
      <c r="B42" s="2">
        <v>3</v>
      </c>
    </row>
    <row r="43" spans="1:2" x14ac:dyDescent="0.25">
      <c r="A43" s="3" t="s">
        <v>26</v>
      </c>
      <c r="B43" s="2">
        <v>3</v>
      </c>
    </row>
    <row r="44" spans="1:2" x14ac:dyDescent="0.25">
      <c r="A44" s="6" t="s">
        <v>32</v>
      </c>
      <c r="B44" s="5">
        <v>3</v>
      </c>
    </row>
    <row r="45" spans="1:2" x14ac:dyDescent="0.25">
      <c r="A45" s="6" t="s">
        <v>40</v>
      </c>
      <c r="B45" s="5">
        <v>3</v>
      </c>
    </row>
    <row r="46" spans="1:2" x14ac:dyDescent="0.25">
      <c r="A46" s="6" t="s">
        <v>46</v>
      </c>
      <c r="B46" s="5">
        <v>3</v>
      </c>
    </row>
    <row r="47" spans="1:2" x14ac:dyDescent="0.25">
      <c r="A47" s="3" t="s">
        <v>49</v>
      </c>
      <c r="B47" s="2">
        <v>3</v>
      </c>
    </row>
    <row r="48" spans="1:2" x14ac:dyDescent="0.25">
      <c r="A48" s="3" t="s">
        <v>53</v>
      </c>
      <c r="B48" s="2">
        <v>3</v>
      </c>
    </row>
    <row r="49" spans="1:2" x14ac:dyDescent="0.25">
      <c r="A49" s="3" t="s">
        <v>55</v>
      </c>
      <c r="B49" s="2">
        <v>3</v>
      </c>
    </row>
    <row r="50" spans="1:2" x14ac:dyDescent="0.25">
      <c r="A50" s="6" t="s">
        <v>56</v>
      </c>
      <c r="B50" s="5">
        <v>3</v>
      </c>
    </row>
    <row r="51" spans="1:2" x14ac:dyDescent="0.25">
      <c r="A51" s="6" t="s">
        <v>58</v>
      </c>
      <c r="B51" s="5">
        <v>3</v>
      </c>
    </row>
    <row r="52" spans="1:2" x14ac:dyDescent="0.25">
      <c r="A52" s="6" t="s">
        <v>60</v>
      </c>
      <c r="B52" s="5">
        <v>3</v>
      </c>
    </row>
    <row r="53" spans="1:2" x14ac:dyDescent="0.25">
      <c r="A53" s="3" t="s">
        <v>62</v>
      </c>
      <c r="B53" s="2">
        <v>3</v>
      </c>
    </row>
    <row r="54" spans="1:2" x14ac:dyDescent="0.25">
      <c r="A54" s="6" t="s">
        <v>80</v>
      </c>
      <c r="B54" s="5">
        <v>3</v>
      </c>
    </row>
    <row r="55" spans="1:2" x14ac:dyDescent="0.25">
      <c r="A55" s="6" t="s">
        <v>82</v>
      </c>
      <c r="B55" s="5">
        <v>3</v>
      </c>
    </row>
    <row r="56" spans="1:2" x14ac:dyDescent="0.25">
      <c r="A56" s="3" t="s">
        <v>85</v>
      </c>
      <c r="B56" s="2">
        <v>3</v>
      </c>
    </row>
    <row r="57" spans="1:2" x14ac:dyDescent="0.25">
      <c r="A57" s="3" t="s">
        <v>87</v>
      </c>
      <c r="B57" s="2">
        <v>3</v>
      </c>
    </row>
    <row r="58" spans="1:2" x14ac:dyDescent="0.25">
      <c r="A58" s="3" t="s">
        <v>91</v>
      </c>
      <c r="B58" s="2">
        <v>3</v>
      </c>
    </row>
    <row r="59" spans="1:2" x14ac:dyDescent="0.25">
      <c r="A59" s="3" t="s">
        <v>97</v>
      </c>
      <c r="B59" s="2">
        <v>3</v>
      </c>
    </row>
    <row r="60" spans="1:2" x14ac:dyDescent="0.25">
      <c r="A60" s="6" t="s">
        <v>100</v>
      </c>
      <c r="B60" s="5">
        <v>3</v>
      </c>
    </row>
    <row r="61" spans="1:2" x14ac:dyDescent="0.25">
      <c r="A61" s="6" t="s">
        <v>104</v>
      </c>
      <c r="B61" s="5">
        <v>3</v>
      </c>
    </row>
    <row r="62" spans="1:2" x14ac:dyDescent="0.25">
      <c r="A62" s="6" t="s">
        <v>106</v>
      </c>
      <c r="B62" s="5">
        <v>3</v>
      </c>
    </row>
    <row r="63" spans="1:2" x14ac:dyDescent="0.25">
      <c r="A63" s="3" t="s">
        <v>110</v>
      </c>
      <c r="B63" s="2">
        <v>3</v>
      </c>
    </row>
    <row r="64" spans="1:2" x14ac:dyDescent="0.25">
      <c r="A64" s="3" t="s">
        <v>111</v>
      </c>
      <c r="B64" s="2">
        <v>3</v>
      </c>
    </row>
    <row r="65" spans="1:2" x14ac:dyDescent="0.25">
      <c r="A65" s="3" t="s">
        <v>124</v>
      </c>
      <c r="B65" s="2">
        <v>3</v>
      </c>
    </row>
    <row r="66" spans="1:2" x14ac:dyDescent="0.25">
      <c r="A66" s="3" t="s">
        <v>128</v>
      </c>
      <c r="B66" s="2">
        <v>3</v>
      </c>
    </row>
    <row r="67" spans="1:2" x14ac:dyDescent="0.25">
      <c r="A67" s="6" t="s">
        <v>131</v>
      </c>
      <c r="B67" s="5">
        <v>3</v>
      </c>
    </row>
    <row r="68" spans="1:2" x14ac:dyDescent="0.25">
      <c r="A68" s="6" t="s">
        <v>135</v>
      </c>
      <c r="B68" s="5">
        <v>3</v>
      </c>
    </row>
    <row r="69" spans="1:2" x14ac:dyDescent="0.25">
      <c r="A69" s="6" t="s">
        <v>138</v>
      </c>
      <c r="B69" s="5">
        <v>3</v>
      </c>
    </row>
    <row r="70" spans="1:2" x14ac:dyDescent="0.25">
      <c r="A70" s="3" t="s">
        <v>142</v>
      </c>
      <c r="B70" s="2">
        <v>3</v>
      </c>
    </row>
    <row r="71" spans="1:2" x14ac:dyDescent="0.25">
      <c r="A71" s="6" t="s">
        <v>143</v>
      </c>
      <c r="B71" s="5">
        <v>3</v>
      </c>
    </row>
    <row r="72" spans="1:2" x14ac:dyDescent="0.25">
      <c r="A72" s="6" t="s">
        <v>146</v>
      </c>
      <c r="B72" s="5">
        <v>3</v>
      </c>
    </row>
    <row r="73" spans="1:2" x14ac:dyDescent="0.25">
      <c r="A73" s="3" t="s">
        <v>17</v>
      </c>
      <c r="B73" s="2">
        <v>4</v>
      </c>
    </row>
    <row r="74" spans="1:2" x14ac:dyDescent="0.25">
      <c r="A74" s="6" t="s">
        <v>30</v>
      </c>
      <c r="B74" s="5">
        <v>4</v>
      </c>
    </row>
    <row r="75" spans="1:2" x14ac:dyDescent="0.25">
      <c r="A75" s="6" t="s">
        <v>34</v>
      </c>
      <c r="B75" s="5">
        <v>4</v>
      </c>
    </row>
    <row r="76" spans="1:2" x14ac:dyDescent="0.25">
      <c r="A76" s="3" t="s">
        <v>37</v>
      </c>
      <c r="B76" s="2">
        <v>4</v>
      </c>
    </row>
    <row r="77" spans="1:2" x14ac:dyDescent="0.25">
      <c r="A77" s="3" t="s">
        <v>39</v>
      </c>
      <c r="B77" s="2">
        <v>4</v>
      </c>
    </row>
    <row r="78" spans="1:2" x14ac:dyDescent="0.25">
      <c r="A78" s="3" t="s">
        <v>41</v>
      </c>
      <c r="B78" s="2">
        <v>4</v>
      </c>
    </row>
    <row r="79" spans="1:2" x14ac:dyDescent="0.25">
      <c r="A79" s="6" t="s">
        <v>42</v>
      </c>
      <c r="B79" s="5">
        <v>4</v>
      </c>
    </row>
    <row r="80" spans="1:2" x14ac:dyDescent="0.25">
      <c r="A80" s="3" t="s">
        <v>45</v>
      </c>
      <c r="B80" s="2">
        <v>4</v>
      </c>
    </row>
    <row r="81" spans="1:2" x14ac:dyDescent="0.25">
      <c r="A81" s="3" t="s">
        <v>47</v>
      </c>
      <c r="B81" s="2">
        <v>4</v>
      </c>
    </row>
    <row r="82" spans="1:2" x14ac:dyDescent="0.25">
      <c r="A82" s="6" t="s">
        <v>52</v>
      </c>
      <c r="B82" s="5">
        <v>4</v>
      </c>
    </row>
    <row r="83" spans="1:2" x14ac:dyDescent="0.25">
      <c r="A83" s="3" t="s">
        <v>57</v>
      </c>
      <c r="B83" s="2">
        <v>4</v>
      </c>
    </row>
    <row r="84" spans="1:2" x14ac:dyDescent="0.25">
      <c r="A84" s="3" t="s">
        <v>59</v>
      </c>
      <c r="B84" s="2">
        <v>4</v>
      </c>
    </row>
    <row r="85" spans="1:2" x14ac:dyDescent="0.25">
      <c r="A85" s="6" t="s">
        <v>63</v>
      </c>
      <c r="B85" s="5">
        <v>4</v>
      </c>
    </row>
    <row r="86" spans="1:2" x14ac:dyDescent="0.25">
      <c r="A86" s="3" t="s">
        <v>66</v>
      </c>
      <c r="B86" s="2">
        <v>4</v>
      </c>
    </row>
    <row r="87" spans="1:2" x14ac:dyDescent="0.25">
      <c r="A87" s="6" t="s">
        <v>67</v>
      </c>
      <c r="B87" s="5">
        <v>4</v>
      </c>
    </row>
    <row r="88" spans="1:2" x14ac:dyDescent="0.25">
      <c r="A88" s="6" t="s">
        <v>72</v>
      </c>
      <c r="B88" s="5">
        <v>4</v>
      </c>
    </row>
    <row r="89" spans="1:2" x14ac:dyDescent="0.25">
      <c r="A89" s="3" t="s">
        <v>73</v>
      </c>
      <c r="B89" s="2">
        <v>4</v>
      </c>
    </row>
    <row r="90" spans="1:2" x14ac:dyDescent="0.25">
      <c r="A90" s="6" t="s">
        <v>74</v>
      </c>
      <c r="B90" s="5">
        <v>4</v>
      </c>
    </row>
    <row r="91" spans="1:2" x14ac:dyDescent="0.25">
      <c r="A91" s="3" t="s">
        <v>89</v>
      </c>
      <c r="B91" s="2">
        <v>4</v>
      </c>
    </row>
    <row r="92" spans="1:2" x14ac:dyDescent="0.25">
      <c r="A92" s="6" t="s">
        <v>92</v>
      </c>
      <c r="B92" s="5">
        <v>4</v>
      </c>
    </row>
    <row r="93" spans="1:2" x14ac:dyDescent="0.25">
      <c r="A93" s="6" t="s">
        <v>94</v>
      </c>
      <c r="B93" s="5">
        <v>4</v>
      </c>
    </row>
    <row r="94" spans="1:2" x14ac:dyDescent="0.25">
      <c r="A94" s="3" t="s">
        <v>101</v>
      </c>
      <c r="B94" s="2">
        <v>4</v>
      </c>
    </row>
    <row r="95" spans="1:2" x14ac:dyDescent="0.25">
      <c r="A95" s="6" t="s">
        <v>109</v>
      </c>
      <c r="B95" s="5">
        <v>4</v>
      </c>
    </row>
    <row r="96" spans="1:2" x14ac:dyDescent="0.25">
      <c r="A96" s="3" t="s">
        <v>114</v>
      </c>
      <c r="B96" s="2">
        <v>4</v>
      </c>
    </row>
    <row r="97" spans="1:2" x14ac:dyDescent="0.25">
      <c r="A97" s="3" t="s">
        <v>119</v>
      </c>
      <c r="B97" s="2">
        <v>4</v>
      </c>
    </row>
    <row r="98" spans="1:2" x14ac:dyDescent="0.25">
      <c r="A98" s="3" t="s">
        <v>133</v>
      </c>
      <c r="B98" s="2">
        <v>4</v>
      </c>
    </row>
    <row r="99" spans="1:2" x14ac:dyDescent="0.25">
      <c r="A99" s="3" t="s">
        <v>139</v>
      </c>
      <c r="B99" s="2">
        <v>4</v>
      </c>
    </row>
    <row r="100" spans="1:2" x14ac:dyDescent="0.25">
      <c r="A100" s="3" t="s">
        <v>140</v>
      </c>
      <c r="B100" s="2">
        <v>4</v>
      </c>
    </row>
    <row r="101" spans="1:2" x14ac:dyDescent="0.25">
      <c r="A101" s="3" t="s">
        <v>145</v>
      </c>
      <c r="B101" s="2">
        <v>4</v>
      </c>
    </row>
    <row r="102" spans="1:2" x14ac:dyDescent="0.25">
      <c r="A102" s="3" t="s">
        <v>147</v>
      </c>
      <c r="B102" s="2">
        <v>4</v>
      </c>
    </row>
    <row r="103" spans="1:2" x14ac:dyDescent="0.25">
      <c r="A103" s="6" t="s">
        <v>150</v>
      </c>
      <c r="B103" s="5">
        <v>4</v>
      </c>
    </row>
    <row r="104" spans="1:2" x14ac:dyDescent="0.25">
      <c r="A104" s="3" t="s">
        <v>151</v>
      </c>
      <c r="B104" s="2">
        <v>4</v>
      </c>
    </row>
    <row r="105" spans="1:2" x14ac:dyDescent="0.25">
      <c r="A105" s="3" t="s">
        <v>5</v>
      </c>
      <c r="B105" s="2">
        <v>5</v>
      </c>
    </row>
    <row r="106" spans="1:2" x14ac:dyDescent="0.25">
      <c r="A106" s="6" t="s">
        <v>9</v>
      </c>
      <c r="B106" s="5">
        <v>5</v>
      </c>
    </row>
    <row r="107" spans="1:2" x14ac:dyDescent="0.25">
      <c r="A107" s="3" t="s">
        <v>14</v>
      </c>
      <c r="B107" s="2">
        <v>5</v>
      </c>
    </row>
    <row r="108" spans="1:2" x14ac:dyDescent="0.25">
      <c r="A108" s="6" t="s">
        <v>22</v>
      </c>
      <c r="B108" s="5">
        <v>5</v>
      </c>
    </row>
    <row r="109" spans="1:2" x14ac:dyDescent="0.25">
      <c r="A109" s="6" t="s">
        <v>25</v>
      </c>
      <c r="B109" s="5">
        <v>5</v>
      </c>
    </row>
    <row r="110" spans="1:2" x14ac:dyDescent="0.25">
      <c r="A110" s="6" t="s">
        <v>28</v>
      </c>
      <c r="B110" s="5">
        <v>5</v>
      </c>
    </row>
    <row r="111" spans="1:2" x14ac:dyDescent="0.25">
      <c r="A111" s="6" t="s">
        <v>48</v>
      </c>
      <c r="B111" s="5">
        <v>5</v>
      </c>
    </row>
    <row r="112" spans="1:2" x14ac:dyDescent="0.25">
      <c r="A112" s="6" t="s">
        <v>50</v>
      </c>
      <c r="B112" s="5">
        <v>5</v>
      </c>
    </row>
    <row r="113" spans="1:2" x14ac:dyDescent="0.25">
      <c r="A113" s="6" t="s">
        <v>54</v>
      </c>
      <c r="B113" s="5">
        <v>5</v>
      </c>
    </row>
    <row r="114" spans="1:2" x14ac:dyDescent="0.25">
      <c r="A114" s="3" t="s">
        <v>61</v>
      </c>
      <c r="B114" s="2">
        <v>5</v>
      </c>
    </row>
    <row r="115" spans="1:2" x14ac:dyDescent="0.25">
      <c r="A115" s="3" t="s">
        <v>64</v>
      </c>
      <c r="B115" s="2">
        <v>5</v>
      </c>
    </row>
    <row r="116" spans="1:2" x14ac:dyDescent="0.25">
      <c r="A116" s="3" t="s">
        <v>65</v>
      </c>
      <c r="B116" s="2">
        <v>5</v>
      </c>
    </row>
    <row r="117" spans="1:2" x14ac:dyDescent="0.25">
      <c r="A117" s="6" t="s">
        <v>70</v>
      </c>
      <c r="B117" s="5">
        <v>5</v>
      </c>
    </row>
    <row r="118" spans="1:2" x14ac:dyDescent="0.25">
      <c r="A118" s="3" t="s">
        <v>76</v>
      </c>
      <c r="B118" s="2">
        <v>5</v>
      </c>
    </row>
    <row r="119" spans="1:2" x14ac:dyDescent="0.25">
      <c r="A119" s="3" t="s">
        <v>83</v>
      </c>
      <c r="B119" s="2">
        <v>5</v>
      </c>
    </row>
    <row r="120" spans="1:2" x14ac:dyDescent="0.25">
      <c r="A120" s="6" t="s">
        <v>86</v>
      </c>
      <c r="B120" s="5">
        <v>5</v>
      </c>
    </row>
    <row r="121" spans="1:2" x14ac:dyDescent="0.25">
      <c r="A121" s="6" t="s">
        <v>88</v>
      </c>
      <c r="B121" s="5">
        <v>5</v>
      </c>
    </row>
    <row r="122" spans="1:2" x14ac:dyDescent="0.25">
      <c r="A122" s="6" t="s">
        <v>98</v>
      </c>
      <c r="B122" s="5">
        <v>5</v>
      </c>
    </row>
    <row r="123" spans="1:2" x14ac:dyDescent="0.25">
      <c r="A123" s="6" t="s">
        <v>102</v>
      </c>
      <c r="B123" s="5">
        <v>5</v>
      </c>
    </row>
    <row r="124" spans="1:2" x14ac:dyDescent="0.25">
      <c r="A124" s="3" t="s">
        <v>105</v>
      </c>
      <c r="B124" s="2">
        <v>5</v>
      </c>
    </row>
    <row r="125" spans="1:2" x14ac:dyDescent="0.25">
      <c r="A125" s="3" t="s">
        <v>107</v>
      </c>
      <c r="B125" s="2">
        <v>5</v>
      </c>
    </row>
    <row r="126" spans="1:2" x14ac:dyDescent="0.25">
      <c r="A126" s="6" t="s">
        <v>115</v>
      </c>
      <c r="B126" s="5">
        <v>5</v>
      </c>
    </row>
    <row r="127" spans="1:2" x14ac:dyDescent="0.25">
      <c r="A127" s="6" t="s">
        <v>125</v>
      </c>
      <c r="B127" s="5">
        <v>5</v>
      </c>
    </row>
    <row r="128" spans="1:2" x14ac:dyDescent="0.25">
      <c r="A128" s="3" t="s">
        <v>136</v>
      </c>
      <c r="B128" s="2">
        <v>5</v>
      </c>
    </row>
    <row r="129" spans="1:2" x14ac:dyDescent="0.25">
      <c r="A129" s="6" t="s">
        <v>141</v>
      </c>
      <c r="B129" s="5">
        <v>5</v>
      </c>
    </row>
    <row r="130" spans="1:2" x14ac:dyDescent="0.25">
      <c r="A130" s="6" t="s">
        <v>148</v>
      </c>
      <c r="B130" s="5">
        <v>5</v>
      </c>
    </row>
    <row r="131" spans="1:2" x14ac:dyDescent="0.25">
      <c r="A131" s="6" t="s">
        <v>152</v>
      </c>
      <c r="B131" s="5">
        <v>5</v>
      </c>
    </row>
    <row r="132" spans="1:2" x14ac:dyDescent="0.25">
      <c r="A132" s="6" t="s">
        <v>18</v>
      </c>
      <c r="B132" s="5">
        <v>6</v>
      </c>
    </row>
    <row r="133" spans="1:2" x14ac:dyDescent="0.25">
      <c r="A133" s="3" t="s">
        <v>35</v>
      </c>
      <c r="B133" s="2">
        <v>6</v>
      </c>
    </row>
    <row r="134" spans="1:2" x14ac:dyDescent="0.25">
      <c r="A134" s="3" t="s">
        <v>43</v>
      </c>
      <c r="B134" s="2">
        <v>6</v>
      </c>
    </row>
    <row r="135" spans="1:2" x14ac:dyDescent="0.25">
      <c r="A135" s="6" t="s">
        <v>68</v>
      </c>
      <c r="B135" s="5">
        <v>6</v>
      </c>
    </row>
    <row r="136" spans="1:2" x14ac:dyDescent="0.25">
      <c r="A136" s="6" t="s">
        <v>77</v>
      </c>
      <c r="B136" s="5">
        <v>6</v>
      </c>
    </row>
    <row r="137" spans="1:2" x14ac:dyDescent="0.25">
      <c r="A137" s="3" t="s">
        <v>95</v>
      </c>
      <c r="B137" s="2">
        <v>6</v>
      </c>
    </row>
    <row r="138" spans="1:2" x14ac:dyDescent="0.25">
      <c r="A138" s="6" t="s">
        <v>96</v>
      </c>
      <c r="B138" s="5">
        <v>6</v>
      </c>
    </row>
    <row r="139" spans="1:2" x14ac:dyDescent="0.25">
      <c r="A139" s="6" t="s">
        <v>103</v>
      </c>
      <c r="B139" s="5">
        <v>6</v>
      </c>
    </row>
    <row r="140" spans="1:2" x14ac:dyDescent="0.25">
      <c r="A140" s="3" t="s">
        <v>116</v>
      </c>
      <c r="B140" s="2">
        <v>6</v>
      </c>
    </row>
    <row r="141" spans="1:2" x14ac:dyDescent="0.25">
      <c r="A141" s="3" t="s">
        <v>117</v>
      </c>
      <c r="B141" s="2">
        <v>6</v>
      </c>
    </row>
    <row r="142" spans="1:2" x14ac:dyDescent="0.25">
      <c r="A142" s="6" t="s">
        <v>120</v>
      </c>
      <c r="B142" s="5">
        <v>6</v>
      </c>
    </row>
    <row r="143" spans="1:2" x14ac:dyDescent="0.25">
      <c r="A143" s="3" t="s">
        <v>121</v>
      </c>
      <c r="B143" s="2">
        <v>6</v>
      </c>
    </row>
    <row r="144" spans="1:2" x14ac:dyDescent="0.25">
      <c r="A144" s="3" t="s">
        <v>122</v>
      </c>
      <c r="B144" s="2">
        <v>6</v>
      </c>
    </row>
    <row r="145" spans="1:2" x14ac:dyDescent="0.25">
      <c r="A145" s="3" t="s">
        <v>153</v>
      </c>
      <c r="B145" s="2">
        <v>6</v>
      </c>
    </row>
    <row r="146" spans="1:2" x14ac:dyDescent="0.25">
      <c r="A146" s="3" t="s">
        <v>154</v>
      </c>
      <c r="B146" s="2">
        <v>6</v>
      </c>
    </row>
  </sheetData>
  <autoFilter ref="A1:B146" xr:uid="{00000000-0001-0000-0000-000000000000}"/>
  <sortState xmlns:xlrd2="http://schemas.microsoft.com/office/spreadsheetml/2017/richdata2" ref="A2:B148">
    <sortCondition ref="B1:B148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2DEE6-5B05-446F-8FB6-E23C39D2C8D4}">
  <dimension ref="A2:N80"/>
  <sheetViews>
    <sheetView workbookViewId="0">
      <selection activeCell="J20" sqref="J20"/>
    </sheetView>
  </sheetViews>
  <sheetFormatPr defaultRowHeight="15" x14ac:dyDescent="0.25"/>
  <cols>
    <col min="9" max="9" width="8.85546875" customWidth="1"/>
  </cols>
  <sheetData>
    <row r="2" spans="1:14" x14ac:dyDescent="0.25">
      <c r="A2" t="s">
        <v>1</v>
      </c>
      <c r="B2" s="4" t="s">
        <v>3</v>
      </c>
      <c r="C2" s="7" t="s">
        <v>7</v>
      </c>
      <c r="D2" s="9" t="s">
        <v>12</v>
      </c>
      <c r="E2" s="8" t="s">
        <v>10</v>
      </c>
      <c r="F2" s="11" t="s">
        <v>24</v>
      </c>
      <c r="G2" s="12" t="s">
        <v>27</v>
      </c>
      <c r="H2" s="10" t="s">
        <v>16</v>
      </c>
    </row>
    <row r="3" spans="1:14" x14ac:dyDescent="0.25">
      <c r="A3">
        <v>1</v>
      </c>
      <c r="B3">
        <v>3</v>
      </c>
      <c r="C3">
        <v>3</v>
      </c>
      <c r="D3">
        <v>3</v>
      </c>
      <c r="E3">
        <v>0</v>
      </c>
      <c r="F3">
        <v>0</v>
      </c>
      <c r="G3">
        <v>0</v>
      </c>
      <c r="H3">
        <v>3</v>
      </c>
      <c r="I3">
        <f>SUM(B3:H3)</f>
        <v>12</v>
      </c>
    </row>
    <row r="4" spans="1:14" x14ac:dyDescent="0.25">
      <c r="A4">
        <v>2</v>
      </c>
      <c r="B4">
        <v>4</v>
      </c>
      <c r="C4">
        <v>4</v>
      </c>
      <c r="D4">
        <v>4</v>
      </c>
      <c r="E4">
        <v>3</v>
      </c>
      <c r="F4">
        <v>3</v>
      </c>
      <c r="G4">
        <v>4</v>
      </c>
      <c r="H4">
        <v>4</v>
      </c>
      <c r="I4">
        <f t="shared" ref="I4:I8" si="0">SUM(B4:H4)</f>
        <v>26</v>
      </c>
    </row>
    <row r="5" spans="1:14" x14ac:dyDescent="0.25">
      <c r="A5">
        <v>3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f t="shared" si="0"/>
        <v>35</v>
      </c>
    </row>
    <row r="6" spans="1:14" x14ac:dyDescent="0.25">
      <c r="A6">
        <v>4</v>
      </c>
      <c r="B6">
        <v>4</v>
      </c>
      <c r="C6">
        <v>5</v>
      </c>
      <c r="D6">
        <v>4</v>
      </c>
      <c r="E6">
        <v>4</v>
      </c>
      <c r="F6">
        <v>5</v>
      </c>
      <c r="G6">
        <v>5</v>
      </c>
      <c r="H6">
        <v>4</v>
      </c>
      <c r="I6">
        <f t="shared" si="0"/>
        <v>31</v>
      </c>
    </row>
    <row r="7" spans="1:14" x14ac:dyDescent="0.25">
      <c r="A7">
        <v>5</v>
      </c>
      <c r="B7">
        <v>3</v>
      </c>
      <c r="C7">
        <v>3</v>
      </c>
      <c r="D7">
        <v>4</v>
      </c>
      <c r="E7">
        <v>4</v>
      </c>
      <c r="F7">
        <v>4</v>
      </c>
      <c r="G7">
        <v>4</v>
      </c>
      <c r="H7">
        <v>2</v>
      </c>
      <c r="I7">
        <f t="shared" si="0"/>
        <v>24</v>
      </c>
    </row>
    <row r="8" spans="1:14" x14ac:dyDescent="0.25">
      <c r="A8">
        <v>6</v>
      </c>
      <c r="B8">
        <v>4</v>
      </c>
      <c r="C8">
        <v>3</v>
      </c>
      <c r="D8">
        <v>3</v>
      </c>
      <c r="E8">
        <v>3</v>
      </c>
      <c r="F8">
        <v>2</v>
      </c>
      <c r="G8">
        <v>2</v>
      </c>
      <c r="H8">
        <v>2</v>
      </c>
      <c r="I8">
        <f t="shared" si="0"/>
        <v>19</v>
      </c>
    </row>
    <row r="9" spans="1:14" x14ac:dyDescent="0.25">
      <c r="B9">
        <f t="shared" ref="B9:H9" si="1">SUM(B3:B8)</f>
        <v>23</v>
      </c>
      <c r="C9">
        <f t="shared" si="1"/>
        <v>23</v>
      </c>
      <c r="D9">
        <f t="shared" si="1"/>
        <v>23</v>
      </c>
      <c r="E9">
        <f t="shared" si="1"/>
        <v>19</v>
      </c>
      <c r="F9">
        <f t="shared" si="1"/>
        <v>19</v>
      </c>
      <c r="G9">
        <f t="shared" si="1"/>
        <v>20</v>
      </c>
      <c r="H9">
        <f t="shared" si="1"/>
        <v>20</v>
      </c>
      <c r="I9">
        <f>SUM(B9:H9)</f>
        <v>147</v>
      </c>
    </row>
    <row r="12" spans="1:14" x14ac:dyDescent="0.25">
      <c r="A12" t="s">
        <v>1</v>
      </c>
      <c r="B12" s="4" t="s">
        <v>3</v>
      </c>
      <c r="C12" s="4" t="s">
        <v>3</v>
      </c>
      <c r="D12" s="4" t="s">
        <v>3</v>
      </c>
      <c r="E12" s="4" t="s">
        <v>3</v>
      </c>
      <c r="F12" s="4" t="s">
        <v>3</v>
      </c>
      <c r="G12" s="4" t="s">
        <v>3</v>
      </c>
      <c r="H12" s="4" t="s">
        <v>3</v>
      </c>
      <c r="I12" s="4" t="s">
        <v>3</v>
      </c>
      <c r="J12" s="4" t="s">
        <v>3</v>
      </c>
      <c r="K12" s="4" t="s">
        <v>3</v>
      </c>
      <c r="L12" s="4" t="s">
        <v>3</v>
      </c>
    </row>
    <row r="13" spans="1:14" x14ac:dyDescent="0.25">
      <c r="A13">
        <v>1</v>
      </c>
      <c r="B13">
        <v>1</v>
      </c>
      <c r="C13">
        <v>1</v>
      </c>
      <c r="D13">
        <v>1</v>
      </c>
      <c r="N13">
        <f t="shared" ref="N13:N17" si="2">SUM(B13:M13)</f>
        <v>3</v>
      </c>
    </row>
    <row r="14" spans="1:14" x14ac:dyDescent="0.25">
      <c r="A14">
        <v>2</v>
      </c>
      <c r="B14">
        <v>1</v>
      </c>
      <c r="E14">
        <v>1</v>
      </c>
      <c r="G14">
        <v>1</v>
      </c>
      <c r="H14">
        <v>1</v>
      </c>
      <c r="N14">
        <f t="shared" si="2"/>
        <v>4</v>
      </c>
    </row>
    <row r="15" spans="1:14" x14ac:dyDescent="0.25">
      <c r="A15">
        <v>3</v>
      </c>
      <c r="B15">
        <v>1</v>
      </c>
      <c r="C15">
        <v>1</v>
      </c>
      <c r="D15">
        <v>1</v>
      </c>
      <c r="F15">
        <v>1</v>
      </c>
      <c r="G15">
        <v>1</v>
      </c>
      <c r="N15">
        <f t="shared" si="2"/>
        <v>5</v>
      </c>
    </row>
    <row r="16" spans="1:14" x14ac:dyDescent="0.25">
      <c r="A16">
        <v>4</v>
      </c>
      <c r="E16">
        <v>1</v>
      </c>
      <c r="F16">
        <v>1</v>
      </c>
      <c r="H16">
        <v>1</v>
      </c>
      <c r="J16">
        <v>1</v>
      </c>
      <c r="N16">
        <f t="shared" si="2"/>
        <v>4</v>
      </c>
    </row>
    <row r="17" spans="1:14" x14ac:dyDescent="0.25">
      <c r="A17">
        <v>5</v>
      </c>
      <c r="C17">
        <v>1</v>
      </c>
      <c r="J17">
        <v>1</v>
      </c>
      <c r="N17">
        <f t="shared" si="2"/>
        <v>2</v>
      </c>
    </row>
    <row r="18" spans="1:14" x14ac:dyDescent="0.25">
      <c r="A18">
        <v>6</v>
      </c>
      <c r="D18">
        <v>1</v>
      </c>
      <c r="E18">
        <v>2</v>
      </c>
      <c r="K18">
        <v>1</v>
      </c>
      <c r="L18">
        <v>1</v>
      </c>
      <c r="N18">
        <f>SUM(B18:M18)</f>
        <v>5</v>
      </c>
    </row>
    <row r="19" spans="1:14" x14ac:dyDescent="0.25">
      <c r="B19" t="s">
        <v>155</v>
      </c>
      <c r="C19" t="s">
        <v>156</v>
      </c>
      <c r="D19" t="s">
        <v>157</v>
      </c>
      <c r="E19" t="s">
        <v>158</v>
      </c>
      <c r="F19" t="s">
        <v>159</v>
      </c>
      <c r="G19" t="s">
        <v>160</v>
      </c>
      <c r="H19" t="s">
        <v>161</v>
      </c>
      <c r="J19" t="s">
        <v>162</v>
      </c>
      <c r="K19" t="s">
        <v>163</v>
      </c>
      <c r="L19" t="s">
        <v>164</v>
      </c>
      <c r="N19">
        <f>SUM(N13:N18)</f>
        <v>23</v>
      </c>
    </row>
    <row r="20" spans="1:14" x14ac:dyDescent="0.25">
      <c r="B20" t="s">
        <v>78</v>
      </c>
      <c r="C20" t="s">
        <v>123</v>
      </c>
      <c r="D20" t="s">
        <v>165</v>
      </c>
      <c r="E20" t="s">
        <v>166</v>
      </c>
      <c r="F20" t="s">
        <v>167</v>
      </c>
      <c r="G20" t="s">
        <v>99</v>
      </c>
      <c r="H20" t="s">
        <v>149</v>
      </c>
      <c r="J20" t="s">
        <v>168</v>
      </c>
      <c r="K20" t="s">
        <v>122</v>
      </c>
      <c r="L20" t="s">
        <v>153</v>
      </c>
      <c r="M20" s="13"/>
      <c r="N20" s="13">
        <f>COUNTA(B20:L20)</f>
        <v>10</v>
      </c>
    </row>
    <row r="22" spans="1:14" x14ac:dyDescent="0.25">
      <c r="A22" t="s">
        <v>1</v>
      </c>
      <c r="B22" s="7" t="s">
        <v>7</v>
      </c>
      <c r="C22" s="7" t="s">
        <v>7</v>
      </c>
      <c r="D22" s="7" t="s">
        <v>7</v>
      </c>
      <c r="E22" s="7" t="s">
        <v>7</v>
      </c>
      <c r="F22" s="7" t="s">
        <v>7</v>
      </c>
      <c r="G22" s="7" t="s">
        <v>7</v>
      </c>
      <c r="H22" s="7" t="s">
        <v>7</v>
      </c>
      <c r="I22" s="7" t="s">
        <v>7</v>
      </c>
      <c r="J22" s="7" t="s">
        <v>7</v>
      </c>
      <c r="K22" s="7" t="s">
        <v>7</v>
      </c>
      <c r="L22" s="7" t="s">
        <v>7</v>
      </c>
    </row>
    <row r="23" spans="1:14" x14ac:dyDescent="0.25">
      <c r="A23">
        <v>1</v>
      </c>
      <c r="B23">
        <v>1</v>
      </c>
      <c r="C23">
        <v>1</v>
      </c>
      <c r="D23">
        <v>1</v>
      </c>
      <c r="N23">
        <f t="shared" ref="N23:N27" si="3">SUM(B23:M23)</f>
        <v>3</v>
      </c>
    </row>
    <row r="24" spans="1:14" x14ac:dyDescent="0.25">
      <c r="A24">
        <v>2</v>
      </c>
      <c r="B24">
        <v>1</v>
      </c>
      <c r="E24">
        <v>1</v>
      </c>
      <c r="G24">
        <v>1</v>
      </c>
      <c r="L24">
        <v>1</v>
      </c>
      <c r="N24">
        <f t="shared" si="3"/>
        <v>4</v>
      </c>
    </row>
    <row r="25" spans="1:14" x14ac:dyDescent="0.25">
      <c r="A25">
        <v>3</v>
      </c>
      <c r="B25">
        <v>1</v>
      </c>
      <c r="C25">
        <v>1</v>
      </c>
      <c r="D25">
        <v>1</v>
      </c>
      <c r="F25">
        <v>1</v>
      </c>
      <c r="I25">
        <v>1</v>
      </c>
      <c r="N25">
        <f t="shared" si="3"/>
        <v>5</v>
      </c>
    </row>
    <row r="26" spans="1:14" x14ac:dyDescent="0.25">
      <c r="A26">
        <v>4</v>
      </c>
      <c r="E26">
        <v>1</v>
      </c>
      <c r="G26">
        <v>1</v>
      </c>
      <c r="H26">
        <v>1</v>
      </c>
      <c r="J26">
        <v>1</v>
      </c>
      <c r="L26">
        <v>1</v>
      </c>
      <c r="N26">
        <f t="shared" si="3"/>
        <v>5</v>
      </c>
    </row>
    <row r="27" spans="1:14" x14ac:dyDescent="0.25">
      <c r="A27">
        <v>5</v>
      </c>
      <c r="C27">
        <v>1</v>
      </c>
      <c r="F27">
        <v>1</v>
      </c>
      <c r="I27">
        <v>1</v>
      </c>
      <c r="N27">
        <f t="shared" si="3"/>
        <v>3</v>
      </c>
    </row>
    <row r="28" spans="1:14" x14ac:dyDescent="0.25">
      <c r="A28">
        <v>6</v>
      </c>
      <c r="D28">
        <v>1</v>
      </c>
      <c r="H28">
        <v>1</v>
      </c>
      <c r="K28">
        <v>1</v>
      </c>
      <c r="N28">
        <f>SUM(B28:M28)</f>
        <v>3</v>
      </c>
    </row>
    <row r="29" spans="1:14" x14ac:dyDescent="0.25">
      <c r="B29" t="s">
        <v>155</v>
      </c>
      <c r="C29" t="s">
        <v>156</v>
      </c>
      <c r="D29" t="s">
        <v>157</v>
      </c>
      <c r="E29" t="s">
        <v>169</v>
      </c>
      <c r="F29" t="s">
        <v>170</v>
      </c>
      <c r="G29" t="s">
        <v>171</v>
      </c>
      <c r="H29" t="s">
        <v>172</v>
      </c>
      <c r="I29" t="s">
        <v>173</v>
      </c>
      <c r="J29" t="s">
        <v>174</v>
      </c>
      <c r="K29" t="s">
        <v>163</v>
      </c>
      <c r="L29" t="s">
        <v>77</v>
      </c>
      <c r="N29">
        <f>SUM(N23:N28)</f>
        <v>23</v>
      </c>
    </row>
    <row r="30" spans="1:14" x14ac:dyDescent="0.25">
      <c r="B30" t="s">
        <v>175</v>
      </c>
      <c r="C30" t="s">
        <v>81</v>
      </c>
      <c r="D30" t="s">
        <v>9</v>
      </c>
      <c r="E30" t="s">
        <v>29</v>
      </c>
      <c r="F30" t="s">
        <v>49</v>
      </c>
      <c r="G30" t="s">
        <v>144</v>
      </c>
      <c r="H30" t="s">
        <v>176</v>
      </c>
      <c r="I30" t="s">
        <v>104</v>
      </c>
      <c r="J30" t="s">
        <v>177</v>
      </c>
      <c r="K30" t="s">
        <v>77</v>
      </c>
      <c r="L30" t="s">
        <v>113</v>
      </c>
      <c r="M30" s="13"/>
      <c r="N30" s="13">
        <f>COUNTA(B30:L30)</f>
        <v>11</v>
      </c>
    </row>
    <row r="32" spans="1:14" x14ac:dyDescent="0.25">
      <c r="A32" t="s">
        <v>1</v>
      </c>
      <c r="B32" s="9" t="s">
        <v>12</v>
      </c>
      <c r="C32" s="9" t="s">
        <v>12</v>
      </c>
      <c r="D32" s="9" t="s">
        <v>12</v>
      </c>
      <c r="E32" s="9" t="s">
        <v>12</v>
      </c>
      <c r="F32" s="9" t="s">
        <v>12</v>
      </c>
      <c r="G32" s="9" t="s">
        <v>12</v>
      </c>
      <c r="H32" s="9" t="s">
        <v>12</v>
      </c>
      <c r="I32" s="9" t="s">
        <v>12</v>
      </c>
      <c r="J32" s="9" t="s">
        <v>12</v>
      </c>
      <c r="K32" s="9" t="s">
        <v>12</v>
      </c>
      <c r="L32" s="9" t="s">
        <v>12</v>
      </c>
    </row>
    <row r="33" spans="1:14" x14ac:dyDescent="0.25">
      <c r="A33">
        <v>1</v>
      </c>
      <c r="B33">
        <v>1</v>
      </c>
      <c r="C33">
        <v>1</v>
      </c>
      <c r="D33">
        <v>1</v>
      </c>
      <c r="N33">
        <f t="shared" ref="N33:N37" si="4">SUM(B33:M33)</f>
        <v>3</v>
      </c>
    </row>
    <row r="34" spans="1:14" x14ac:dyDescent="0.25">
      <c r="A34">
        <v>2</v>
      </c>
      <c r="B34">
        <v>1</v>
      </c>
      <c r="E34">
        <v>1</v>
      </c>
      <c r="G34">
        <v>1</v>
      </c>
      <c r="J34">
        <v>1</v>
      </c>
      <c r="N34">
        <f t="shared" si="4"/>
        <v>4</v>
      </c>
    </row>
    <row r="35" spans="1:14" x14ac:dyDescent="0.25">
      <c r="A35">
        <v>3</v>
      </c>
      <c r="B35">
        <v>1</v>
      </c>
      <c r="C35">
        <v>1</v>
      </c>
      <c r="D35">
        <v>1</v>
      </c>
      <c r="F35">
        <v>1</v>
      </c>
      <c r="H35">
        <v>1</v>
      </c>
      <c r="N35">
        <f t="shared" si="4"/>
        <v>5</v>
      </c>
    </row>
    <row r="36" spans="1:14" x14ac:dyDescent="0.25">
      <c r="A36">
        <v>4</v>
      </c>
      <c r="E36">
        <v>1</v>
      </c>
      <c r="G36">
        <v>1</v>
      </c>
      <c r="I36">
        <v>1</v>
      </c>
      <c r="L36">
        <v>1</v>
      </c>
      <c r="N36">
        <f t="shared" si="4"/>
        <v>4</v>
      </c>
    </row>
    <row r="37" spans="1:14" x14ac:dyDescent="0.25">
      <c r="A37">
        <v>5</v>
      </c>
      <c r="C37">
        <v>1</v>
      </c>
      <c r="F37">
        <v>1</v>
      </c>
      <c r="I37">
        <v>1</v>
      </c>
      <c r="J37">
        <v>1</v>
      </c>
      <c r="N37">
        <f t="shared" si="4"/>
        <v>4</v>
      </c>
    </row>
    <row r="38" spans="1:14" x14ac:dyDescent="0.25">
      <c r="A38">
        <v>6</v>
      </c>
      <c r="D38">
        <v>1</v>
      </c>
      <c r="H38">
        <v>1</v>
      </c>
      <c r="K38">
        <v>1</v>
      </c>
      <c r="N38">
        <f>SUM(B38:M38)</f>
        <v>3</v>
      </c>
    </row>
    <row r="39" spans="1:14" x14ac:dyDescent="0.25">
      <c r="B39" t="s">
        <v>155</v>
      </c>
      <c r="C39" t="s">
        <v>156</v>
      </c>
      <c r="D39" t="s">
        <v>157</v>
      </c>
      <c r="E39" t="s">
        <v>218</v>
      </c>
      <c r="F39" t="s">
        <v>179</v>
      </c>
      <c r="G39" t="s">
        <v>180</v>
      </c>
      <c r="H39" t="s">
        <v>181</v>
      </c>
      <c r="I39" t="s">
        <v>170</v>
      </c>
      <c r="J39" t="s">
        <v>182</v>
      </c>
      <c r="K39" t="s">
        <v>163</v>
      </c>
      <c r="L39" t="s">
        <v>174</v>
      </c>
      <c r="N39">
        <f>SUM(N33:N38)</f>
        <v>23</v>
      </c>
    </row>
    <row r="40" spans="1:14" x14ac:dyDescent="0.25">
      <c r="B40" t="s">
        <v>129</v>
      </c>
      <c r="C40" t="s">
        <v>84</v>
      </c>
      <c r="D40" t="s">
        <v>11</v>
      </c>
      <c r="E40" t="s">
        <v>51</v>
      </c>
      <c r="F40" t="s">
        <v>40</v>
      </c>
      <c r="G40" t="s">
        <v>44</v>
      </c>
      <c r="H40" t="s">
        <v>97</v>
      </c>
      <c r="I40" t="s">
        <v>63</v>
      </c>
      <c r="J40" t="s">
        <v>183</v>
      </c>
      <c r="K40" t="s">
        <v>117</v>
      </c>
      <c r="L40" t="s">
        <v>184</v>
      </c>
      <c r="M40" s="13"/>
      <c r="N40" s="13">
        <f>COUNTA(B40:L40)</f>
        <v>11</v>
      </c>
    </row>
    <row r="42" spans="1:14" x14ac:dyDescent="0.25">
      <c r="A42" t="s">
        <v>1</v>
      </c>
      <c r="B42" s="8" t="s">
        <v>10</v>
      </c>
      <c r="C42" s="8" t="s">
        <v>10</v>
      </c>
      <c r="D42" s="8" t="s">
        <v>10</v>
      </c>
      <c r="E42" s="8" t="s">
        <v>10</v>
      </c>
      <c r="F42" s="8" t="s">
        <v>10</v>
      </c>
      <c r="G42" s="8" t="s">
        <v>10</v>
      </c>
      <c r="H42" s="8" t="s">
        <v>10</v>
      </c>
      <c r="I42" s="8" t="s">
        <v>10</v>
      </c>
      <c r="J42" s="8" t="s">
        <v>10</v>
      </c>
      <c r="K42" s="8" t="s">
        <v>10</v>
      </c>
      <c r="L42" s="8" t="s">
        <v>10</v>
      </c>
    </row>
    <row r="43" spans="1:14" x14ac:dyDescent="0.25">
      <c r="A43">
        <v>1</v>
      </c>
      <c r="N43">
        <f t="shared" ref="N43:N47" si="5">SUM(B43:M43)</f>
        <v>0</v>
      </c>
    </row>
    <row r="44" spans="1:14" x14ac:dyDescent="0.25">
      <c r="A44">
        <v>2</v>
      </c>
      <c r="B44">
        <v>1</v>
      </c>
      <c r="D44">
        <v>1</v>
      </c>
      <c r="J44">
        <v>1</v>
      </c>
      <c r="N44">
        <f t="shared" si="5"/>
        <v>3</v>
      </c>
    </row>
    <row r="45" spans="1:14" x14ac:dyDescent="0.25">
      <c r="A45">
        <v>3</v>
      </c>
      <c r="C45">
        <v>1</v>
      </c>
      <c r="D45">
        <v>1</v>
      </c>
      <c r="F45">
        <v>1</v>
      </c>
      <c r="H45">
        <v>1</v>
      </c>
      <c r="I45">
        <v>1</v>
      </c>
      <c r="N45">
        <f t="shared" si="5"/>
        <v>5</v>
      </c>
    </row>
    <row r="46" spans="1:14" x14ac:dyDescent="0.25">
      <c r="A46">
        <v>4</v>
      </c>
      <c r="B46">
        <v>1</v>
      </c>
      <c r="D46">
        <v>1</v>
      </c>
      <c r="H46">
        <v>1</v>
      </c>
      <c r="J46">
        <v>1</v>
      </c>
      <c r="N46">
        <f t="shared" si="5"/>
        <v>4</v>
      </c>
    </row>
    <row r="47" spans="1:14" x14ac:dyDescent="0.25">
      <c r="A47">
        <v>5</v>
      </c>
      <c r="C47">
        <v>1</v>
      </c>
      <c r="E47">
        <v>1</v>
      </c>
      <c r="F47">
        <v>1</v>
      </c>
      <c r="G47">
        <v>1</v>
      </c>
      <c r="N47">
        <f t="shared" si="5"/>
        <v>4</v>
      </c>
    </row>
    <row r="48" spans="1:14" x14ac:dyDescent="0.25">
      <c r="A48">
        <v>6</v>
      </c>
      <c r="B48">
        <v>1</v>
      </c>
      <c r="E48">
        <v>1</v>
      </c>
      <c r="K48">
        <v>1</v>
      </c>
      <c r="N48">
        <f>SUM(B48:M48)</f>
        <v>3</v>
      </c>
    </row>
    <row r="49" spans="1:14" x14ac:dyDescent="0.25">
      <c r="B49" t="s">
        <v>170</v>
      </c>
      <c r="C49" t="s">
        <v>164</v>
      </c>
      <c r="D49" t="s">
        <v>185</v>
      </c>
      <c r="E49" t="s">
        <v>186</v>
      </c>
      <c r="F49" t="s">
        <v>187</v>
      </c>
      <c r="G49" t="s">
        <v>188</v>
      </c>
      <c r="H49" t="s">
        <v>189</v>
      </c>
      <c r="I49" t="s">
        <v>164</v>
      </c>
      <c r="J49" t="s">
        <v>178</v>
      </c>
      <c r="K49" t="s">
        <v>163</v>
      </c>
      <c r="N49">
        <f>SUM(N43:N48)</f>
        <v>19</v>
      </c>
    </row>
    <row r="50" spans="1:14" x14ac:dyDescent="0.25">
      <c r="B50" t="s">
        <v>15</v>
      </c>
      <c r="C50" t="s">
        <v>21</v>
      </c>
      <c r="D50" t="s">
        <v>31</v>
      </c>
      <c r="E50" t="s">
        <v>190</v>
      </c>
      <c r="F50" t="s">
        <v>87</v>
      </c>
      <c r="G50" t="s">
        <v>107</v>
      </c>
      <c r="H50" t="s">
        <v>91</v>
      </c>
      <c r="I50" t="s">
        <v>106</v>
      </c>
      <c r="J50" t="s">
        <v>217</v>
      </c>
      <c r="K50" t="s">
        <v>121</v>
      </c>
      <c r="M50" s="13"/>
      <c r="N50" s="13">
        <f>COUNTA(B50:K50)</f>
        <v>10</v>
      </c>
    </row>
    <row r="52" spans="1:14" x14ac:dyDescent="0.25">
      <c r="A52" t="s">
        <v>1</v>
      </c>
      <c r="B52" s="11" t="s">
        <v>24</v>
      </c>
      <c r="C52" s="11" t="s">
        <v>24</v>
      </c>
      <c r="D52" s="11" t="s">
        <v>24</v>
      </c>
      <c r="E52" s="11" t="s">
        <v>24</v>
      </c>
      <c r="F52" s="11" t="s">
        <v>24</v>
      </c>
      <c r="G52" s="11" t="s">
        <v>24</v>
      </c>
      <c r="H52" s="11" t="s">
        <v>24</v>
      </c>
      <c r="I52" s="11" t="s">
        <v>24</v>
      </c>
      <c r="J52" s="11" t="s">
        <v>24</v>
      </c>
      <c r="K52" s="11" t="s">
        <v>24</v>
      </c>
      <c r="L52" s="11" t="s">
        <v>24</v>
      </c>
    </row>
    <row r="53" spans="1:14" x14ac:dyDescent="0.25">
      <c r="A53">
        <v>1</v>
      </c>
      <c r="N53">
        <f t="shared" ref="N53:N57" si="6">SUM(B53:M53)</f>
        <v>0</v>
      </c>
    </row>
    <row r="54" spans="1:14" x14ac:dyDescent="0.25">
      <c r="A54">
        <v>2</v>
      </c>
      <c r="B54">
        <v>1</v>
      </c>
      <c r="D54">
        <v>1</v>
      </c>
      <c r="F54">
        <v>1</v>
      </c>
      <c r="N54">
        <f t="shared" si="6"/>
        <v>3</v>
      </c>
    </row>
    <row r="55" spans="1:14" x14ac:dyDescent="0.25">
      <c r="A55">
        <v>3</v>
      </c>
      <c r="C55">
        <v>1</v>
      </c>
      <c r="G55">
        <v>1</v>
      </c>
      <c r="H55">
        <v>1</v>
      </c>
      <c r="I55">
        <v>1</v>
      </c>
      <c r="J55">
        <v>1</v>
      </c>
      <c r="N55">
        <f t="shared" si="6"/>
        <v>5</v>
      </c>
    </row>
    <row r="56" spans="1:14" x14ac:dyDescent="0.25">
      <c r="A56">
        <v>4</v>
      </c>
      <c r="C56">
        <v>1</v>
      </c>
      <c r="D56">
        <v>1</v>
      </c>
      <c r="E56">
        <v>1</v>
      </c>
      <c r="F56">
        <v>1</v>
      </c>
      <c r="K56">
        <v>1</v>
      </c>
      <c r="N56">
        <f t="shared" si="6"/>
        <v>5</v>
      </c>
    </row>
    <row r="57" spans="1:14" x14ac:dyDescent="0.25">
      <c r="A57">
        <v>5</v>
      </c>
      <c r="B57">
        <v>1</v>
      </c>
      <c r="E57">
        <v>1</v>
      </c>
      <c r="G57">
        <v>1</v>
      </c>
      <c r="H57">
        <v>1</v>
      </c>
      <c r="N57">
        <f t="shared" si="6"/>
        <v>4</v>
      </c>
    </row>
    <row r="58" spans="1:14" x14ac:dyDescent="0.25">
      <c r="A58">
        <v>6</v>
      </c>
      <c r="D58">
        <v>1</v>
      </c>
      <c r="L58">
        <v>1</v>
      </c>
      <c r="N58">
        <f>SUM(B58:M58)</f>
        <v>2</v>
      </c>
    </row>
    <row r="59" spans="1:14" x14ac:dyDescent="0.25">
      <c r="B59" t="s">
        <v>170</v>
      </c>
      <c r="C59" t="s">
        <v>191</v>
      </c>
      <c r="D59" t="s">
        <v>192</v>
      </c>
      <c r="E59" t="s">
        <v>193</v>
      </c>
      <c r="F59" t="s">
        <v>194</v>
      </c>
      <c r="I59" t="s">
        <v>195</v>
      </c>
      <c r="J59" t="s">
        <v>195</v>
      </c>
      <c r="K59" t="s">
        <v>174</v>
      </c>
      <c r="L59" t="s">
        <v>163</v>
      </c>
      <c r="N59">
        <f>SUM(N53:N58)</f>
        <v>19</v>
      </c>
    </row>
    <row r="60" spans="1:14" x14ac:dyDescent="0.25">
      <c r="B60" t="s">
        <v>196</v>
      </c>
      <c r="C60" t="s">
        <v>197</v>
      </c>
      <c r="D60" t="s">
        <v>93</v>
      </c>
      <c r="E60" t="s">
        <v>140</v>
      </c>
      <c r="F60" t="s">
        <v>112</v>
      </c>
      <c r="G60" t="s">
        <v>90</v>
      </c>
      <c r="H60" t="s">
        <v>53</v>
      </c>
      <c r="I60" t="s">
        <v>142</v>
      </c>
      <c r="J60" t="s">
        <v>198</v>
      </c>
      <c r="K60" t="s">
        <v>73</v>
      </c>
      <c r="L60" t="s">
        <v>116</v>
      </c>
      <c r="M60" s="13"/>
      <c r="N60" s="13">
        <f>COUNTA(B60:L60)</f>
        <v>11</v>
      </c>
    </row>
    <row r="62" spans="1:14" x14ac:dyDescent="0.25">
      <c r="A62" t="s">
        <v>1</v>
      </c>
      <c r="B62" s="12" t="s">
        <v>27</v>
      </c>
      <c r="C62" s="12" t="s">
        <v>27</v>
      </c>
      <c r="D62" s="12" t="s">
        <v>27</v>
      </c>
      <c r="E62" s="12" t="s">
        <v>27</v>
      </c>
      <c r="F62" s="12" t="s">
        <v>27</v>
      </c>
      <c r="G62" s="12" t="s">
        <v>27</v>
      </c>
      <c r="H62" s="12" t="s">
        <v>27</v>
      </c>
      <c r="I62" s="12" t="s">
        <v>27</v>
      </c>
      <c r="J62" s="12" t="s">
        <v>27</v>
      </c>
      <c r="K62" s="12" t="s">
        <v>27</v>
      </c>
      <c r="L62" s="12" t="s">
        <v>27</v>
      </c>
    </row>
    <row r="63" spans="1:14" x14ac:dyDescent="0.25">
      <c r="A63">
        <v>1</v>
      </c>
      <c r="N63">
        <f t="shared" ref="N63:N67" si="7">SUM(B63:M63)</f>
        <v>0</v>
      </c>
    </row>
    <row r="64" spans="1:14" x14ac:dyDescent="0.25">
      <c r="A64">
        <v>2</v>
      </c>
      <c r="C64">
        <v>1</v>
      </c>
      <c r="F64">
        <v>1</v>
      </c>
      <c r="G64">
        <v>1</v>
      </c>
      <c r="N64">
        <f t="shared" si="7"/>
        <v>3</v>
      </c>
    </row>
    <row r="65" spans="1:14" x14ac:dyDescent="0.25">
      <c r="A65">
        <v>3</v>
      </c>
      <c r="B65">
        <v>1</v>
      </c>
      <c r="D65">
        <v>1</v>
      </c>
      <c r="E65">
        <v>1</v>
      </c>
      <c r="H65">
        <v>1</v>
      </c>
      <c r="I65">
        <v>1</v>
      </c>
      <c r="N65">
        <f t="shared" si="7"/>
        <v>5</v>
      </c>
    </row>
    <row r="66" spans="1:14" x14ac:dyDescent="0.25">
      <c r="A66">
        <v>4</v>
      </c>
      <c r="C66">
        <v>1</v>
      </c>
      <c r="D66">
        <v>1</v>
      </c>
      <c r="F66">
        <v>1</v>
      </c>
      <c r="G66">
        <v>1</v>
      </c>
      <c r="I66">
        <v>1</v>
      </c>
      <c r="N66">
        <f t="shared" si="7"/>
        <v>5</v>
      </c>
    </row>
    <row r="67" spans="1:14" x14ac:dyDescent="0.25">
      <c r="A67">
        <v>5</v>
      </c>
      <c r="B67">
        <v>1</v>
      </c>
      <c r="D67">
        <v>1</v>
      </c>
      <c r="E67">
        <v>1</v>
      </c>
      <c r="H67">
        <v>1</v>
      </c>
      <c r="I67">
        <v>1</v>
      </c>
      <c r="N67">
        <f t="shared" si="7"/>
        <v>5</v>
      </c>
    </row>
    <row r="68" spans="1:14" x14ac:dyDescent="0.25">
      <c r="A68">
        <v>6</v>
      </c>
      <c r="G68">
        <v>1</v>
      </c>
      <c r="J68">
        <v>1</v>
      </c>
      <c r="N68">
        <f>SUM(B68:M68)</f>
        <v>2</v>
      </c>
    </row>
    <row r="69" spans="1:14" x14ac:dyDescent="0.25">
      <c r="B69" t="s">
        <v>199</v>
      </c>
      <c r="C69" t="s">
        <v>200</v>
      </c>
      <c r="D69" t="s">
        <v>201</v>
      </c>
      <c r="E69" t="s">
        <v>202</v>
      </c>
      <c r="F69" t="s">
        <v>203</v>
      </c>
      <c r="G69" t="s">
        <v>204</v>
      </c>
      <c r="H69" t="s">
        <v>205</v>
      </c>
      <c r="I69" t="s">
        <v>206</v>
      </c>
      <c r="J69" t="s">
        <v>163</v>
      </c>
      <c r="N69">
        <f>SUM(N63:N68)</f>
        <v>20</v>
      </c>
    </row>
    <row r="70" spans="1:14" x14ac:dyDescent="0.25">
      <c r="B70" t="s">
        <v>26</v>
      </c>
      <c r="C70" t="s">
        <v>36</v>
      </c>
      <c r="D70" t="s">
        <v>46</v>
      </c>
      <c r="E70" t="s">
        <v>55</v>
      </c>
      <c r="F70" t="s">
        <v>108</v>
      </c>
      <c r="G70" t="s">
        <v>118</v>
      </c>
      <c r="H70" t="s">
        <v>60</v>
      </c>
      <c r="I70" t="s">
        <v>146</v>
      </c>
      <c r="J70" t="s">
        <v>154</v>
      </c>
      <c r="M70" s="13"/>
      <c r="N70" s="13">
        <f>COUNTA(B70:L70)</f>
        <v>9</v>
      </c>
    </row>
    <row r="72" spans="1:14" x14ac:dyDescent="0.25">
      <c r="A72" t="s">
        <v>1</v>
      </c>
      <c r="B72" s="10" t="s">
        <v>16</v>
      </c>
      <c r="C72" s="10" t="s">
        <v>16</v>
      </c>
      <c r="D72" s="10" t="s">
        <v>16</v>
      </c>
      <c r="E72" s="10" t="s">
        <v>16</v>
      </c>
      <c r="F72" s="10" t="s">
        <v>16</v>
      </c>
      <c r="G72" s="10" t="s">
        <v>16</v>
      </c>
      <c r="H72" s="10" t="s">
        <v>16</v>
      </c>
      <c r="I72" s="10" t="s">
        <v>16</v>
      </c>
      <c r="J72" s="10" t="s">
        <v>16</v>
      </c>
      <c r="K72" s="10" t="s">
        <v>16</v>
      </c>
      <c r="L72" s="10" t="s">
        <v>16</v>
      </c>
      <c r="M72" s="10" t="s">
        <v>16</v>
      </c>
    </row>
    <row r="73" spans="1:14" x14ac:dyDescent="0.25">
      <c r="A73">
        <v>1</v>
      </c>
      <c r="B73">
        <v>1</v>
      </c>
      <c r="J73">
        <v>1</v>
      </c>
      <c r="L73">
        <v>1</v>
      </c>
      <c r="N73">
        <f t="shared" ref="N73:N77" si="8">SUM(B73:M73)</f>
        <v>3</v>
      </c>
    </row>
    <row r="74" spans="1:14" x14ac:dyDescent="0.25">
      <c r="A74">
        <v>2</v>
      </c>
      <c r="B74">
        <v>1</v>
      </c>
      <c r="C74">
        <v>1</v>
      </c>
      <c r="G74">
        <v>1</v>
      </c>
      <c r="K74">
        <v>1</v>
      </c>
      <c r="N74">
        <f>SUM(B74:M74)</f>
        <v>4</v>
      </c>
    </row>
    <row r="75" spans="1:14" x14ac:dyDescent="0.25">
      <c r="A75">
        <v>3</v>
      </c>
      <c r="D75">
        <v>1</v>
      </c>
      <c r="I75">
        <v>1</v>
      </c>
      <c r="J75">
        <v>1</v>
      </c>
      <c r="K75">
        <v>1</v>
      </c>
      <c r="L75">
        <v>1</v>
      </c>
      <c r="N75">
        <f t="shared" si="8"/>
        <v>5</v>
      </c>
    </row>
    <row r="76" spans="1:14" x14ac:dyDescent="0.25">
      <c r="A76">
        <v>4</v>
      </c>
      <c r="C76">
        <v>1</v>
      </c>
      <c r="E76">
        <v>1</v>
      </c>
      <c r="K76">
        <v>1</v>
      </c>
      <c r="M76">
        <v>1</v>
      </c>
      <c r="N76">
        <f t="shared" si="8"/>
        <v>4</v>
      </c>
    </row>
    <row r="77" spans="1:14" x14ac:dyDescent="0.25">
      <c r="A77">
        <v>5</v>
      </c>
      <c r="D77">
        <v>1</v>
      </c>
      <c r="J77">
        <v>1</v>
      </c>
      <c r="N77">
        <f t="shared" si="8"/>
        <v>2</v>
      </c>
    </row>
    <row r="78" spans="1:14" x14ac:dyDescent="0.25">
      <c r="A78">
        <v>6</v>
      </c>
      <c r="F78">
        <v>1</v>
      </c>
      <c r="H78">
        <v>1</v>
      </c>
      <c r="N78">
        <f>SUM(B78:M78)</f>
        <v>2</v>
      </c>
    </row>
    <row r="79" spans="1:14" x14ac:dyDescent="0.25">
      <c r="B79" t="s">
        <v>207</v>
      </c>
      <c r="C79" t="s">
        <v>208</v>
      </c>
      <c r="D79" t="s">
        <v>209</v>
      </c>
      <c r="E79" t="s">
        <v>210</v>
      </c>
      <c r="F79" s="14" t="s">
        <v>211</v>
      </c>
      <c r="G79" t="s">
        <v>212</v>
      </c>
      <c r="H79" t="s">
        <v>187</v>
      </c>
      <c r="I79" t="s">
        <v>213</v>
      </c>
      <c r="J79" t="s">
        <v>219</v>
      </c>
      <c r="K79" t="s">
        <v>214</v>
      </c>
      <c r="L79" t="s">
        <v>215</v>
      </c>
      <c r="M79" t="s">
        <v>216</v>
      </c>
      <c r="N79">
        <f>SUM(N73:N78)</f>
        <v>20</v>
      </c>
    </row>
    <row r="80" spans="1:14" x14ac:dyDescent="0.25">
      <c r="B80" t="s">
        <v>19</v>
      </c>
      <c r="C80" t="s">
        <v>38</v>
      </c>
      <c r="D80" t="s">
        <v>62</v>
      </c>
      <c r="E80" t="s">
        <v>101</v>
      </c>
      <c r="F80" t="s">
        <v>68</v>
      </c>
      <c r="G80" t="s">
        <v>71</v>
      </c>
      <c r="H80" t="s">
        <v>76</v>
      </c>
      <c r="I80" t="s">
        <v>111</v>
      </c>
      <c r="J80" t="s">
        <v>134</v>
      </c>
      <c r="K80" t="s">
        <v>137</v>
      </c>
      <c r="L80" t="s">
        <v>75</v>
      </c>
      <c r="M80" t="s">
        <v>114</v>
      </c>
      <c r="N80" s="13">
        <f>COUNTA(B80:L80)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Gen1 Pokédex</vt:lpstr>
      <vt:lpstr>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2026-04-18T14:48:41Z</dcterms:modified>
</cp:coreProperties>
</file>