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5FABCE2B-1502-439A-A8F9-03F4C680F0E5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Gen1 Pokédex" sheetId="1" r:id="rId1"/>
    <sheet name="Count" sheetId="2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" l="1"/>
  <c r="F7" i="2"/>
  <c r="F6" i="2"/>
  <c r="F5" i="2"/>
  <c r="F3" i="2"/>
  <c r="F4" i="2"/>
  <c r="G10" i="2"/>
  <c r="E8" i="2"/>
  <c r="E7" i="2"/>
  <c r="E6" i="2"/>
  <c r="E5" i="2"/>
  <c r="E4" i="2"/>
  <c r="E3" i="2"/>
  <c r="D4" i="2"/>
  <c r="D8" i="2"/>
  <c r="D7" i="2"/>
  <c r="D6" i="2"/>
  <c r="D5" i="2"/>
  <c r="D3" i="2"/>
  <c r="C3" i="2"/>
  <c r="C8" i="2"/>
  <c r="C5" i="2"/>
  <c r="C4" i="2"/>
  <c r="B8" i="2"/>
  <c r="B7" i="2"/>
  <c r="B6" i="2"/>
  <c r="B5" i="2"/>
  <c r="B4" i="2"/>
  <c r="B3" i="2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F10" i="2" l="1"/>
  <c r="E10" i="2"/>
  <c r="D10" i="2"/>
  <c r="C10" i="2"/>
  <c r="B10" i="2"/>
  <c r="M63" i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<sst xmlns="http://schemas.openxmlformats.org/spreadsheetml/2006/main" count="1609" uniqueCount="1126">
  <si>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</si>
  <si>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</si>
  <si>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</si>
  <si>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</si>
  <si>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</si>
  <si>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</si>
  <si>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</si>
  <si>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</si>
  <si>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</si>
  <si>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</si>
  <si>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</si>
  <si>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</si>
  <si>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</si>
  <si>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</si>
  <si>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</si>
  <si>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</si>
  <si>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</si>
  <si>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</si>
  <si>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</si>
  <si>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</si>
  <si>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</si>
  <si>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</si>
  <si>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</si>
  <si>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</si>
  <si>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</si>
  <si>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</si>
  <si>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</si>
  <si>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</si>
  <si>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</si>
  <si>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</si>
  <si>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</si>
  <si>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</si>
  <si>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</si>
  <si>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</si>
  <si>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</si>
  <si>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</si>
  <si>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</si>
  <si>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</si>
  <si>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</si>
  <si>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</si>
  <si>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</si>
  <si>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</si>
  <si>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</si>
  <si>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</si>
  <si>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</si>
  <si>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</si>
  <si>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</si>
  <si>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</si>
  <si>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</si>
  <si>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</si>
  <si>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</si>
  <si>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</si>
  <si>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</si>
  <si>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</si>
  <si>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</si>
  <si>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</si>
  <si>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</si>
  <si>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</si>
  <si>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</si>
  <si>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</si>
  <si>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</si>
  <si>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</si>
  <si>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</si>
  <si>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</si>
  <si>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</si>
  <si>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</si>
  <si>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</si>
  <si>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</si>
  <si>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</si>
  <si>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</si>
  <si>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</si>
  <si>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</si>
  <si>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</si>
  <si>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</si>
  <si>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</si>
  <si>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</si>
  <si>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</si>
  <si>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</si>
  <si>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</si>
  <si>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</si>
  <si>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</si>
  <si>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</si>
  <si>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</si>
  <si>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</si>
  <si>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</si>
  <si>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</si>
  <si>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</si>
  <si>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</si>
  <si>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</si>
  <si>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</si>
  <si>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</si>
  <si>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</si>
  <si>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</si>
  <si>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</si>
  <si>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</si>
  <si>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</si>
  <si>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</si>
  <si>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</si>
  <si>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</si>
  <si>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</si>
  <si>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</si>
  <si>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</si>
  <si>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</si>
  <si>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</si>
  <si>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</si>
  <si>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</si>
  <si>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</si>
  <si>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</si>
  <si>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</si>
  <si>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</si>
  <si>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</si>
  <si>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</si>
  <si>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</si>
  <si>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</si>
  <si>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</si>
  <si>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</si>
  <si>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</si>
  <si>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</si>
  <si>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</si>
  <si>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</si>
  <si>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</si>
  <si>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</si>
  <si>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</si>
  <si>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</si>
  <si>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</si>
  <si>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</si>
  <si>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</si>
  <si>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</si>
  <si>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</si>
  <si>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</si>
  <si>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</si>
  <si>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</si>
  <si>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</si>
  <si>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</si>
  <si>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</si>
  <si>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</si>
  <si>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</si>
  <si>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</si>
  <si>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</si>
  <si>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</si>
  <si>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</si>
  <si>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</si>
  <si>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</si>
  <si>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</si>
  <si>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</si>
  <si>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</si>
  <si>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</si>
  <si>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</si>
  <si>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</si>
  <si>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</si>
  <si>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</si>
  <si>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</si>
  <si>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</si>
  <si>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</si>
  <si>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</si>
  <si>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</si>
  <si>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</si>
  <si>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</si>
  <si>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</si>
  <si>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</si>
  <si>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</si>
  <si>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</si>
  <si>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</si>
  <si>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</si>
  <si>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</si>
  <si>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</si>
  <si>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</si>
  <si>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</si>
  <si>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</si>
  <si>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</si>
  <si>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</si>
  <si>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</si>
  <si>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</si>
  <si>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</si>
  <si>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</si>
  <si>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</si>
  <si>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</si>
  <si>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</si>
  <si>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</si>
  <si>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</si>
  <si>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</si>
  <si>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</si>
  <si>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</si>
  <si>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</si>
  <si>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</si>
  <si>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</si>
  <si>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</si>
  <si>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</si>
  <si>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</si>
  <si>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</si>
  <si>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</si>
  <si>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</si>
  <si>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</si>
  <si>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</si>
  <si>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</si>
  <si>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</si>
  <si>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</si>
  <si>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</si>
  <si>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</si>
  <si>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</si>
  <si>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</si>
  <si>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</si>
  <si>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</si>
  <si>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</si>
  <si>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</si>
  <si>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</si>
  <si>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</si>
  <si>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</si>
  <si>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</si>
  <si>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</si>
  <si>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</si>
  <si>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</si>
  <si>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</si>
  <si>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</si>
  <si>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</si>
  <si>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</si>
  <si>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</si>
  <si>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</si>
  <si>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</si>
  <si>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</si>
  <si>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</si>
  <si>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</si>
  <si>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</si>
  <si>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</si>
  <si>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</si>
  <si>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</si>
  <si>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</si>
  <si>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</si>
  <si>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</si>
  <si>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</si>
  <si>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</si>
  <si>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</si>
  <si>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</si>
  <si>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</si>
  <si>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</si>
  <si>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</si>
  <si>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</si>
  <si>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</si>
  <si>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</si>
  <si>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</si>
  <si>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</si>
  <si>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</si>
  <si>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</si>
  <si>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</si>
  <si>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</si>
  <si>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</si>
  <si>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</si>
  <si>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</si>
  <si>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</si>
  <si>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</si>
  <si>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</si>
  <si>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</si>
  <si>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</si>
  <si>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</si>
  <si>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</si>
  <si>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</si>
  <si>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</si>
  <si>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</si>
  <si>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</si>
  <si>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</si>
  <si>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</si>
  <si>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</si>
  <si>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</si>
  <si>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</si>
  <si>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</si>
  <si>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</si>
  <si>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</si>
  <si>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</si>
  <si>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</si>
  <si>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</si>
  <si>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</si>
  <si>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</si>
  <si>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</si>
  <si>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</si>
  <si>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</si>
  <si>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</si>
  <si>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</si>
  <si>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</si>
  <si>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</si>
  <si>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</si>
  <si>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</si>
  <si>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</si>
  <si>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</si>
  <si>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</si>
  <si>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</si>
  <si>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</si>
  <si>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</si>
  <si>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</si>
  <si>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</si>
  <si>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</si>
  <si>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</si>
  <si>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</si>
  <si>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</si>
  <si>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</si>
  <si>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</si>
  <si>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</si>
  <si>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</si>
  <si>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</si>
  <si>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</si>
  <si>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</si>
  <si>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</si>
  <si>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</si>
  <si>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</si>
  <si>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</si>
  <si>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</si>
  <si>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</si>
  <si>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</si>
  <si>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</si>
  <si>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</si>
  <si>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</si>
  <si>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</si>
  <si>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</si>
  <si>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</si>
  <si>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</si>
  <si>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</si>
  <si>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</si>
  <si>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</si>
  <si>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</si>
  <si>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</si>
  <si>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</si>
  <si>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</si>
  <si>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</si>
  <si>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</si>
  <si>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</si>
  <si>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</si>
  <si>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</si>
  <si>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</si>
  <si>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</si>
  <si>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</si>
  <si>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</si>
  <si>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</si>
  <si>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</si>
  <si>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</si>
  <si>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</si>
  <si>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</si>
  <si>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</si>
  <si>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</si>
  <si>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</si>
  <si>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</si>
  <si>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</si>
  <si>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</si>
  <si>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</si>
  <si>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</si>
  <si>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</si>
  <si>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</si>
  <si>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</si>
  <si>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</si>
  <si>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</si>
  <si>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</si>
  <si>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</si>
  <si>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</si>
  <si>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</si>
  <si>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</si>
  <si>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</si>
  <si>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</si>
  <si>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</si>
  <si>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</si>
  <si>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</si>
  <si>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</si>
  <si>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</si>
  <si>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</si>
  <si>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</si>
  <si>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</si>
  <si>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</si>
  <si>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</si>
  <si>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</si>
  <si>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</si>
  <si>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</si>
  <si>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</si>
  <si>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</si>
  <si>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</si>
  <si>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</si>
  <si>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</si>
  <si>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</si>
  <si>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</si>
  <si>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</si>
  <si>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</si>
  <si>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</si>
  <si>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</si>
  <si>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</si>
  <si>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</si>
  <si>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</si>
  <si>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</si>
  <si>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</si>
  <si>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</si>
  <si>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</si>
  <si>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</si>
  <si>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</si>
  <si>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</si>
  <si>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</si>
  <si>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</si>
  <si>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</si>
  <si>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</si>
  <si>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</si>
  <si>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</si>
  <si>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</si>
  <si>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</si>
  <si>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</si>
  <si>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</si>
  <si>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</si>
  <si>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</si>
  <si>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</si>
  <si>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</si>
  <si>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</si>
  <si>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</si>
  <si>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</si>
  <si>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</si>
  <si>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</si>
  <si>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</si>
  <si>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</si>
  <si>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</si>
  <si>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</si>
  <si>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</si>
  <si>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</si>
  <si>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</si>
  <si>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</si>
  <si>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</si>
  <si>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</si>
  <si>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</si>
  <si>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</si>
  <si>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</si>
  <si>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</si>
  <si>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</si>
  <si>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</si>
  <si>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</si>
  <si>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</si>
  <si>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</si>
  <si>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</si>
  <si>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</si>
  <si>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</si>
  <si>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</si>
  <si>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</si>
  <si>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</si>
  <si>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</si>
  <si>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</si>
  <si>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</si>
  <si>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</si>
  <si>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</si>
  <si>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</si>
  <si>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</si>
  <si>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</si>
  <si>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</si>
  <si>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</si>
  <si>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</si>
  <si>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</si>
  <si>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</si>
  <si>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</si>
  <si>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</si>
  <si>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</si>
  <si>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</si>
  <si>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</si>
  <si>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</si>
  <si>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</si>
  <si>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</si>
  <si>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</si>
  <si>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</si>
  <si>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</si>
  <si>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</si>
  <si>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</si>
  <si>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</si>
  <si>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</si>
  <si>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</si>
  <si>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</si>
  <si>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</si>
  <si>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</si>
  <si>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</si>
  <si>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</si>
  <si>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</si>
  <si>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</si>
  <si>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</si>
  <si>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</si>
  <si>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</si>
  <si>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</si>
  <si>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</si>
  <si>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</si>
  <si>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</si>
  <si>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</si>
  <si>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</si>
  <si>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</si>
  <si>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</si>
  <si>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</si>
  <si>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</si>
  <si>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</si>
  <si>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</si>
  <si>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</si>
  <si>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</si>
  <si>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</si>
  <si>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</si>
  <si>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</si>
  <si>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</si>
  <si>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</si>
  <si>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</si>
  <si>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</si>
  <si>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</si>
  <si>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</si>
  <si>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</si>
  <si>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</si>
  <si>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</si>
  <si>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</si>
  <si>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</si>
  <si>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</si>
  <si>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</si>
  <si>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</si>
  <si>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</si>
  <si>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</si>
  <si>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</si>
  <si>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</si>
  <si>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</si>
  <si>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</si>
  <si>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</si>
  <si>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</si>
  <si>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</si>
  <si>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</si>
  <si>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</si>
  <si>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</si>
  <si>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</si>
  <si>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</si>
  <si>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</si>
  <si>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</si>
  <si>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</si>
  <si>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</si>
  <si>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</si>
  <si>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</si>
  <si>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</si>
  <si>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</si>
  <si>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</si>
  <si>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</si>
  <si>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</si>
  <si>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</si>
  <si>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</si>
  <si>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</si>
  <si>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</si>
  <si>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</si>
  <si>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</si>
  <si>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</si>
  <si>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</si>
  <si>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</si>
  <si>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</si>
  <si>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</si>
  <si>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</si>
  <si>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</si>
  <si>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</si>
  <si>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</si>
  <si>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</si>
  <si>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</si>
  <si>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</si>
  <si>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</si>
  <si>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</si>
  <si>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</si>
  <si>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</si>
  <si>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</si>
  <si>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</si>
  <si>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</si>
  <si>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</si>
  <si>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</si>
  <si>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</si>
  <si>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</si>
  <si>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</si>
  <si>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</si>
  <si>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</si>
  <si>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</si>
  <si>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</si>
  <si>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</si>
  <si>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</si>
  <si>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</si>
  <si>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</si>
  <si>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</si>
  <si>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</si>
  <si>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</si>
  <si>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</si>
  <si>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</si>
  <si>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</si>
  <si>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</si>
  <si>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</si>
  <si>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</si>
  <si>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</si>
  <si>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</si>
  <si>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</si>
  <si>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</si>
  <si>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</si>
  <si>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</si>
  <si>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</si>
  <si>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</si>
  <si>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</si>
  <si>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</si>
  <si>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</si>
  <si>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</si>
  <si>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</si>
  <si>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</si>
  <si>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</si>
  <si>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</si>
  <si>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</si>
  <si>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</si>
  <si>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</si>
  <si>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</si>
  <si>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</si>
  <si>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</si>
  <si>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</si>
  <si>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</si>
  <si>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</si>
  <si>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</si>
  <si>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</si>
  <si>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</si>
  <si>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</si>
  <si>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</si>
  <si>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</si>
  <si>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</si>
  <si>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</si>
  <si>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</si>
  <si>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</si>
  <si>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</si>
  <si>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</si>
  <si>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</si>
  <si>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</si>
  <si>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</si>
  <si>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</si>
  <si>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</si>
  <si>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</si>
  <si>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</si>
  <si>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</si>
  <si>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</si>
  <si>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</si>
  <si>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</si>
  <si>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</si>
  <si>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</si>
  <si>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</si>
  <si>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</si>
  <si>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</si>
  <si>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</si>
  <si>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</si>
  <si>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</si>
  <si>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</si>
  <si>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</si>
  <si>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</si>
  <si>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</si>
  <si>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</si>
  <si>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</si>
  <si>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</si>
  <si>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</si>
  <si>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</si>
  <si>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</si>
  <si>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</si>
  <si>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</si>
  <si>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</si>
  <si>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</si>
  <si>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</si>
  <si>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</si>
  <si>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</si>
  <si>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</si>
  <si>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</si>
  <si>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</si>
  <si>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</si>
  <si>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</si>
  <si>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</si>
  <si>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</si>
  <si>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</si>
  <si>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</si>
  <si>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</si>
  <si>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</si>
  <si>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</si>
  <si>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</si>
  <si>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</si>
  <si>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</si>
  <si>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</si>
  <si>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</si>
  <si>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</si>
  <si>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</si>
  <si>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</si>
  <si>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</si>
  <si>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</si>
  <si>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</si>
  <si>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</si>
  <si>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</si>
  <si>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</si>
  <si>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</si>
  <si>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</si>
  <si>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</si>
  <si>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</si>
  <si>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</si>
  <si>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</si>
  <si>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</si>
  <si>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</si>
  <si>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</si>
  <si>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</si>
  <si>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</si>
  <si>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</si>
  <si>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</si>
  <si>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</si>
  <si>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</si>
  <si>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</si>
  <si>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</si>
  <si>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</si>
  <si>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</si>
  <si>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</si>
  <si>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</si>
  <si>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</si>
  <si>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</si>
  <si>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</si>
  <si>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</si>
  <si>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</si>
  <si>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</si>
  <si>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</si>
  <si>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</si>
  <si>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</si>
  <si>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</si>
  <si>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</si>
  <si>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</si>
  <si>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</si>
  <si>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</si>
  <si>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</si>
  <si>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</si>
  <si>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</si>
  <si>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</si>
  <si>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</si>
  <si>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</si>
  <si>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</si>
  <si>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</si>
  <si>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</si>
  <si>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</si>
  <si>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</si>
  <si>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</si>
  <si>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</si>
  <si>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</si>
  <si>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</si>
  <si>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</si>
  <si>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</si>
  <si>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</si>
  <si>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</si>
  <si>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</si>
  <si>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</si>
  <si>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</si>
  <si>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</si>
  <si>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</si>
  <si>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</si>
  <si>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</si>
  <si>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</si>
  <si>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</si>
  <si>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</si>
  <si>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</si>
  <si>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</si>
  <si>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</si>
  <si>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</si>
  <si>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</si>
  <si>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</si>
  <si>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</si>
  <si>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</si>
  <si>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</si>
  <si>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</si>
  <si>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</si>
  <si>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</si>
  <si>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</si>
  <si>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</si>
  <si>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</si>
  <si>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</si>
  <si>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</si>
  <si>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</si>
  <si>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</si>
  <si>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</si>
  <si>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</si>
  <si>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</si>
  <si>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</si>
  <si>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</si>
  <si>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</si>
  <si>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</si>
  <si>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</si>
  <si>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</si>
  <si>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</si>
  <si>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</si>
  <si>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</si>
  <si>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</si>
  <si>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</si>
  <si>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</si>
  <si>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</si>
  <si>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</si>
  <si>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</si>
  <si>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</si>
  <si>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</si>
  <si>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</si>
  <si>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</si>
  <si>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</si>
  <si>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</si>
  <si>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</si>
  <si>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</si>
  <si>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</si>
  <si>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</si>
  <si>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</si>
  <si>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</si>
  <si>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</si>
  <si>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</si>
  <si>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</si>
  <si>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</si>
  <si>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</si>
  <si>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</si>
  <si>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</si>
  <si>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</si>
  <si>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</si>
  <si>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</si>
  <si>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</si>
  <si>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</si>
  <si>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</si>
  <si>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</si>
  <si>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</si>
  <si>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</si>
  <si>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</si>
  <si>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</si>
  <si>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</si>
  <si>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</si>
  <si>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</si>
  <si>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</si>
  <si>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</si>
  <si>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</si>
  <si>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</si>
  <si>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</si>
  <si>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</si>
  <si>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</si>
  <si>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</si>
  <si>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</si>
  <si>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</si>
  <si>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</si>
  <si>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</si>
  <si>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</si>
  <si>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</si>
  <si>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</si>
  <si>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</si>
  <si>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</si>
  <si>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</si>
  <si>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</si>
  <si>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</si>
  <si>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</si>
  <si>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</si>
  <si>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</si>
  <si>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</si>
  <si>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</si>
  <si>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</si>
  <si>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</si>
  <si>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</si>
  <si>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</si>
  <si>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</si>
  <si>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</si>
  <si>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</si>
  <si>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</si>
  <si>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</si>
  <si>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</si>
  <si>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</si>
  <si>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</si>
  <si>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</si>
  <si>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</si>
  <si>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</si>
  <si>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</si>
  <si>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</si>
  <si>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</si>
  <si>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</si>
  <si>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</si>
  <si>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</si>
  <si>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</si>
  <si>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</si>
  <si>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</si>
  <si>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</si>
  <si>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</si>
  <si>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</si>
  <si>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</si>
  <si>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</si>
  <si>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</si>
  <si>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</si>
  <si>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</si>
  <si>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</si>
  <si>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</si>
  <si>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</si>
  <si>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</si>
  <si>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</si>
  <si>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</si>
  <si>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</si>
  <si>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</si>
  <si>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</si>
  <si>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</si>
  <si>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</si>
  <si>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</si>
  <si>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</si>
  <si>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</si>
  <si>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</si>
  <si>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</si>
  <si>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</si>
  <si>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</si>
  <si>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</si>
  <si>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</si>
  <si>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</si>
  <si>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</si>
  <si>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</si>
  <si>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</si>
  <si>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</si>
  <si>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</si>
  <si>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</si>
  <si>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</si>
  <si>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</si>
  <si>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</si>
  <si>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</si>
  <si>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</si>
  <si>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</si>
  <si>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</si>
  <si>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</si>
  <si>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</si>
  <si>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</si>
  <si>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</si>
  <si>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</si>
  <si>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</si>
  <si>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</si>
  <si>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</si>
  <si>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</si>
  <si>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</si>
  <si>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</si>
  <si>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</si>
  <si>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</si>
  <si>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</si>
  <si>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</si>
  <si>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</si>
  <si>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</si>
  <si>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</si>
  <si>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</si>
  <si>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</si>
  <si>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</si>
  <si>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</si>
  <si>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</si>
  <si>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</si>
  <si>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</si>
  <si>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</si>
  <si>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</si>
  <si>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</si>
  <si>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</si>
  <si>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</si>
  <si>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</si>
  <si>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</si>
  <si>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</si>
  <si>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</si>
  <si>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</si>
  <si>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</si>
  <si>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</si>
  <si>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</si>
  <si>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</si>
  <si>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</si>
  <si>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</si>
  <si>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</si>
  <si>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</si>
  <si>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</si>
  <si>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</si>
  <si>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</si>
  <si>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</si>
  <si>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</si>
  <si>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</si>
  <si>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</si>
  <si>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</si>
  <si>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</si>
  <si>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</si>
  <si>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</si>
  <si>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</si>
  <si>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</si>
  <si>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</si>
  <si>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</si>
  <si>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</si>
  <si>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</si>
  <si>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</si>
  <si>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</si>
  <si>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</si>
  <si>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</si>
  <si>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</si>
  <si>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</si>
  <si>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</si>
  <si>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</si>
  <si>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</si>
  <si>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</si>
  <si>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</si>
  <si>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</si>
  <si>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</si>
  <si>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</si>
  <si>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</si>
  <si>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</si>
  <si>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</si>
  <si>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</si>
  <si>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</si>
  <si>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</si>
  <si>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</si>
  <si>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</si>
  <si>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</si>
  <si>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</si>
  <si>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</si>
  <si>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</si>
  <si>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</si>
  <si>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</si>
  <si>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</si>
  <si>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</si>
  <si>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</si>
  <si>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</si>
  <si>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</si>
  <si>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</si>
  <si>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</si>
  <si>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</si>
  <si>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</si>
  <si>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</si>
  <si>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</si>
  <si>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</si>
  <si>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</si>
  <si>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</si>
  <si>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</si>
  <si>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</si>
  <si>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</si>
  <si>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</si>
  <si>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</si>
  <si>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</si>
  <si>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</si>
  <si>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</si>
  <si>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</si>
  <si>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</si>
  <si>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</si>
  <si>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</si>
  <si>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</si>
  <si>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</si>
  <si>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</si>
  <si>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</si>
  <si>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</si>
  <si>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</si>
  <si>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</si>
  <si>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</si>
  <si>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</si>
  <si>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</si>
  <si>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</si>
  <si>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</si>
  <si>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</si>
  <si>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</si>
  <si>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</si>
  <si>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</si>
  <si>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</si>
  <si>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</si>
  <si>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</si>
  <si>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</si>
  <si>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</si>
  <si>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</si>
  <si>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</si>
  <si>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</si>
  <si>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</si>
  <si>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</si>
  <si>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</si>
  <si>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</si>
  <si>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</si>
  <si>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</si>
  <si>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</si>
  <si>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</si>
  <si>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</si>
  <si>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</si>
  <si>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</si>
  <si>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</si>
  <si>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</si>
  <si>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</si>
  <si>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</si>
  <si>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</si>
  <si>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</si>
  <si>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</si>
  <si>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</si>
  <si>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</si>
  <si>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</si>
  <si>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</si>
  <si>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</si>
  <si>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</si>
  <si>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</si>
  <si>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</si>
  <si>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</si>
  <si>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</si>
  <si>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</si>
  <si>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</si>
  <si>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</si>
  <si>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</si>
  <si>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</si>
  <si>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</si>
  <si>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</si>
  <si>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</si>
  <si>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</si>
  <si>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</si>
  <si>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</si>
  <si>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</si>
  <si>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</si>
  <si>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</si>
  <si>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</si>
  <si>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</si>
  <si>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</si>
  <si>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</si>
  <si>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</si>
  <si>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</si>
  <si>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</si>
  <si>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</si>
  <si>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</si>
  <si>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</si>
  <si>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</si>
  <si>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</si>
  <si>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</si>
  <si>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</si>
  <si>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</si>
  <si>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</si>
  <si>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</si>
  <si>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</si>
  <si>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</si>
  <si>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</si>
  <si>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</si>
  <si>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</si>
  <si>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</si>
  <si>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Tier 1</t>
  </si>
  <si>
    <t>Tier 2</t>
  </si>
  <si>
    <t>Tier 3</t>
  </si>
  <si>
    <t>Tier 4</t>
  </si>
  <si>
    <t>Tier 5</t>
  </si>
  <si>
    <t>Tier 6</t>
  </si>
  <si>
    <t>Speed</t>
  </si>
  <si>
    <t>Total</t>
  </si>
  <si>
    <t>I need to think about if evolutions show up in the shop and how many poke i see without having any preevlutions.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</si>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</sst>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387"/>
  <sheetViews>
    <sheetView tabSelected="1" workbookViewId="0">
      <pane ySplit="1" topLeftCell="A2" activePane="bottomLeft" state="frozen"/>
      <selection pane="bottomLeft" activeCell="G396" sqref="G396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1108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1111</v>
      </c>
      <c r="V1" s="1" t="s">
        <v>1112</v>
      </c>
    </row>
    <row r="2" spans="1:22" x14ac:dyDescent="0.25">
      <c r="A2" s="2">
        <v>1</v>
      </c>
      <c r="B2" s="3" t="s">
        <v>18</v>
      </c>
      <c r="C2" s="2">
        <v>27</v>
      </c>
      <c r="D2" s="2">
        <v>50</v>
      </c>
      <c r="E2" s="2">
        <v>25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:L65" si="0">AVERAGE(J2,K2)</f>
        <v>57</v>
      </c>
      <c r="M2" s="2">
        <f t="shared" ref="M2:M65" si="1">ROUND(H2*POWER(L2,1.5)/500+15,0)</f>
        <v>54</v>
      </c>
      <c r="N2" s="2" t="str">
        <f t="shared" ref="N2:N65" si="2">TEXT(ROUND(M2*0.8,0),"0")&amp;" – "&amp;TEXT(M2,"0")</f>
        <v>43 – 54</v>
      </c>
      <c r="O2" s="2">
        <v>1</v>
      </c>
      <c r="P2" s="2">
        <v>12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hidden="1" x14ac:dyDescent="0.25">
      <c r="A3" s="6">
        <v>2</v>
      </c>
      <c r="B3" s="7" t="s">
        <v>23</v>
      </c>
      <c r="C3" s="6"/>
      <c r="D3" s="6"/>
      <c r="E3" s="6"/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si="0"/>
        <v>71.5</v>
      </c>
      <c r="M3" s="6">
        <f t="shared" si="1"/>
        <v>88</v>
      </c>
      <c r="N3" s="6" t="str">
        <f t="shared" si="2"/>
        <v>70 – 88</v>
      </c>
      <c r="O3" s="6">
        <v>3</v>
      </c>
      <c r="P3" s="6"/>
      <c r="Q3" s="7" t="s">
        <v>24</v>
      </c>
      <c r="R3" s="6" t="s">
        <v>25</v>
      </c>
      <c r="S3" s="6">
        <v>55</v>
      </c>
      <c r="T3" s="6">
        <f t="shared" si="3"/>
        <v>88</v>
      </c>
      <c r="U3" s="6">
        <v>1</v>
      </c>
      <c r="V3" s="6"/>
    </row>
    <row r="4" spans="1:22" hidden="1" x14ac:dyDescent="0.25">
      <c r="A4" s="2">
        <v>3</v>
      </c>
      <c r="B4" s="3" t="s">
        <v>26</v>
      </c>
      <c r="C4" s="2"/>
      <c r="D4" s="2"/>
      <c r="E4" s="2"/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0"/>
        <v>91.5</v>
      </c>
      <c r="M4" s="2">
        <f t="shared" si="1"/>
        <v>155</v>
      </c>
      <c r="N4" s="2" t="str">
        <f t="shared" si="2"/>
        <v>124 – 155</v>
      </c>
      <c r="O4" s="2">
        <v>6</v>
      </c>
      <c r="P4" s="2"/>
      <c r="Q4" s="3" t="s">
        <v>27</v>
      </c>
      <c r="R4" s="2" t="s">
        <v>28</v>
      </c>
      <c r="S4" s="2">
        <v>120</v>
      </c>
      <c r="T4" s="2">
        <f t="shared" si="3"/>
        <v>155</v>
      </c>
      <c r="U4" s="2">
        <v>2</v>
      </c>
      <c r="V4" s="2"/>
    </row>
    <row r="5" spans="1:22" x14ac:dyDescent="0.25">
      <c r="A5" s="6">
        <v>4</v>
      </c>
      <c r="B5" s="7" t="s">
        <v>29</v>
      </c>
      <c r="C5" s="6">
        <v>25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0"/>
        <v>46.5</v>
      </c>
      <c r="M5" s="6">
        <f t="shared" si="1"/>
        <v>40</v>
      </c>
      <c r="N5" s="6" t="str">
        <f t="shared" si="2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15</v>
      </c>
      <c r="U5" s="6"/>
      <c r="V5" s="6"/>
    </row>
    <row r="6" spans="1:22" hidden="1" x14ac:dyDescent="0.25">
      <c r="A6" s="2">
        <v>5</v>
      </c>
      <c r="B6" s="3" t="s">
        <v>33</v>
      </c>
      <c r="C6" s="2"/>
      <c r="D6" s="2"/>
      <c r="E6" s="2"/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0"/>
        <v>61.5</v>
      </c>
      <c r="M6" s="2">
        <f t="shared" si="1"/>
        <v>71</v>
      </c>
      <c r="N6" s="2" t="str">
        <f t="shared" si="2"/>
        <v>57 – 71</v>
      </c>
      <c r="O6" s="2">
        <v>3</v>
      </c>
      <c r="P6" s="2"/>
      <c r="Q6" s="3" t="s">
        <v>34</v>
      </c>
      <c r="R6" s="2" t="s">
        <v>35</v>
      </c>
      <c r="S6" s="2">
        <v>95</v>
      </c>
      <c r="T6" s="2">
        <f t="shared" si="3"/>
        <v>71</v>
      </c>
      <c r="U6" s="2">
        <v>4</v>
      </c>
      <c r="V6" s="2"/>
    </row>
    <row r="7" spans="1:22" hidden="1" x14ac:dyDescent="0.25">
      <c r="A7" s="6">
        <v>6</v>
      </c>
      <c r="B7" s="7" t="s">
        <v>36</v>
      </c>
      <c r="C7" s="6"/>
      <c r="D7" s="6"/>
      <c r="E7" s="6"/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0"/>
        <v>81.5</v>
      </c>
      <c r="M7" s="6">
        <f t="shared" si="1"/>
        <v>130</v>
      </c>
      <c r="N7" s="6" t="str">
        <f t="shared" si="2"/>
        <v>104 – 130</v>
      </c>
      <c r="O7" s="6">
        <v>6</v>
      </c>
      <c r="P7" s="6"/>
      <c r="Q7" s="7" t="s">
        <v>38</v>
      </c>
      <c r="R7" s="6" t="s">
        <v>35</v>
      </c>
      <c r="S7" s="6">
        <v>95</v>
      </c>
      <c r="T7" s="6">
        <f t="shared" si="3"/>
        <v>130</v>
      </c>
      <c r="U7" s="6">
        <v>5</v>
      </c>
      <c r="V7" s="6"/>
    </row>
    <row r="8" spans="1:22" x14ac:dyDescent="0.25">
      <c r="A8" s="2">
        <v>7</v>
      </c>
      <c r="B8" s="3" t="s">
        <v>39</v>
      </c>
      <c r="C8" s="2">
        <v>22</v>
      </c>
      <c r="D8" s="2">
        <v>55</v>
      </c>
      <c r="E8" s="2">
        <v>23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0"/>
        <v>64.5</v>
      </c>
      <c r="M8" s="2">
        <f t="shared" si="1"/>
        <v>61</v>
      </c>
      <c r="N8" s="2" t="str">
        <f t="shared" si="2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39</v>
      </c>
      <c r="U8" s="2"/>
      <c r="V8" s="2"/>
    </row>
    <row r="9" spans="1:22" hidden="1" x14ac:dyDescent="0.25">
      <c r="A9" s="6">
        <v>8</v>
      </c>
      <c r="B9" s="7" t="s">
        <v>43</v>
      </c>
      <c r="C9" s="6"/>
      <c r="D9" s="6"/>
      <c r="E9" s="6"/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0"/>
        <v>80</v>
      </c>
      <c r="M9" s="6">
        <f t="shared" si="1"/>
        <v>99</v>
      </c>
      <c r="N9" s="6" t="str">
        <f t="shared" si="2"/>
        <v>79 – 99</v>
      </c>
      <c r="O9" s="6">
        <v>3</v>
      </c>
      <c r="P9" s="6"/>
      <c r="Q9" s="7" t="s">
        <v>44</v>
      </c>
      <c r="R9" s="6" t="s">
        <v>45</v>
      </c>
      <c r="S9" s="6">
        <v>40</v>
      </c>
      <c r="T9" s="6">
        <f t="shared" si="3"/>
        <v>99</v>
      </c>
      <c r="U9" s="6">
        <v>7</v>
      </c>
      <c r="V9" s="6"/>
    </row>
    <row r="10" spans="1:22" hidden="1" x14ac:dyDescent="0.25">
      <c r="A10" s="2">
        <v>9</v>
      </c>
      <c r="B10" s="3" t="s">
        <v>46</v>
      </c>
      <c r="C10" s="2"/>
      <c r="D10" s="2"/>
      <c r="E10" s="2"/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0"/>
        <v>102.5</v>
      </c>
      <c r="M10" s="2">
        <f t="shared" si="1"/>
        <v>179</v>
      </c>
      <c r="N10" s="2" t="str">
        <f t="shared" si="2"/>
        <v>143 – 179</v>
      </c>
      <c r="O10" s="2">
        <v>6</v>
      </c>
      <c r="P10" s="2"/>
      <c r="Q10" s="3" t="s">
        <v>47</v>
      </c>
      <c r="R10" s="2" t="s">
        <v>48</v>
      </c>
      <c r="S10" s="2">
        <v>120</v>
      </c>
      <c r="T10" s="2">
        <f t="shared" si="3"/>
        <v>179</v>
      </c>
      <c r="U10" s="2">
        <v>8</v>
      </c>
      <c r="V10" s="2"/>
    </row>
    <row r="11" spans="1:22" hidden="1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0"/>
        <v>27.5</v>
      </c>
      <c r="M11" s="6">
        <f t="shared" si="1"/>
        <v>28</v>
      </c>
      <c r="N11" s="6" t="str">
        <f t="shared" si="2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hidden="1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0"/>
        <v>40</v>
      </c>
      <c r="M12" s="2">
        <f t="shared" si="1"/>
        <v>40</v>
      </c>
      <c r="N12" s="2" t="str">
        <f t="shared" si="2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hidden="1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0"/>
        <v>65</v>
      </c>
      <c r="M13" s="6">
        <f t="shared" si="1"/>
        <v>78</v>
      </c>
      <c r="N13" s="6" t="str">
        <f t="shared" si="2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hidden="1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0"/>
        <v>25</v>
      </c>
      <c r="M14" s="2">
        <f t="shared" si="1"/>
        <v>25</v>
      </c>
      <c r="N14" s="2" t="str">
        <f t="shared" si="2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hidden="1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0"/>
        <v>37.5</v>
      </c>
      <c r="M15" s="6">
        <f t="shared" si="1"/>
        <v>36</v>
      </c>
      <c r="N15" s="6" t="str">
        <f t="shared" si="2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hidden="1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0"/>
        <v>60</v>
      </c>
      <c r="M16" s="2">
        <f t="shared" si="1"/>
        <v>75</v>
      </c>
      <c r="N16" s="2" t="str">
        <f t="shared" si="2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hidden="1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0"/>
        <v>37.5</v>
      </c>
      <c r="M17" s="6">
        <f t="shared" si="1"/>
        <v>33</v>
      </c>
      <c r="N17" s="6" t="str">
        <f t="shared" si="2"/>
        <v>26 – 33</v>
      </c>
      <c r="O17" s="6">
        <v>2</v>
      </c>
      <c r="P17" s="6"/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hidden="1" x14ac:dyDescent="0.25">
      <c r="A18" s="2">
        <v>17</v>
      </c>
      <c r="B18" s="3" t="s">
        <v>70</v>
      </c>
      <c r="C18" s="2"/>
      <c r="D18" s="2"/>
      <c r="E18" s="2"/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0"/>
        <v>52.5</v>
      </c>
      <c r="M18" s="2">
        <f t="shared" si="1"/>
        <v>63</v>
      </c>
      <c r="N18" s="2" t="str">
        <f t="shared" si="2"/>
        <v>50 – 63</v>
      </c>
      <c r="O18" s="2">
        <v>4</v>
      </c>
      <c r="P18" s="2"/>
      <c r="Q18" s="3" t="s">
        <v>71</v>
      </c>
      <c r="R18" s="2" t="s">
        <v>72</v>
      </c>
      <c r="S18" s="2">
        <v>60</v>
      </c>
      <c r="T18" s="2">
        <f t="shared" si="3"/>
        <v>63</v>
      </c>
      <c r="U18" s="2">
        <v>16</v>
      </c>
      <c r="V18" s="2"/>
    </row>
    <row r="19" spans="1:22" hidden="1" x14ac:dyDescent="0.25">
      <c r="A19" s="6">
        <v>18</v>
      </c>
      <c r="B19" s="7" t="s">
        <v>73</v>
      </c>
      <c r="C19" s="6"/>
      <c r="D19" s="6"/>
      <c r="E19" s="6"/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0"/>
        <v>72.5</v>
      </c>
      <c r="M19" s="6">
        <f t="shared" si="1"/>
        <v>117</v>
      </c>
      <c r="N19" s="6" t="str">
        <f t="shared" si="2"/>
        <v>94 – 117</v>
      </c>
      <c r="O19" s="6">
        <v>6</v>
      </c>
      <c r="P19" s="6"/>
      <c r="Q19" s="7" t="s">
        <v>74</v>
      </c>
      <c r="R19" s="6" t="s">
        <v>72</v>
      </c>
      <c r="S19" s="6">
        <v>60</v>
      </c>
      <c r="T19" s="6">
        <f t="shared" si="3"/>
        <v>117</v>
      </c>
      <c r="U19" s="6">
        <v>17</v>
      </c>
      <c r="V19" s="6"/>
    </row>
    <row r="20" spans="1:22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0"/>
        <v>35</v>
      </c>
      <c r="M20" s="2">
        <f t="shared" si="1"/>
        <v>27</v>
      </c>
      <c r="N20" s="2" t="str">
        <f t="shared" si="2"/>
        <v>22 – 27</v>
      </c>
      <c r="O20" s="2">
        <v>1</v>
      </c>
      <c r="P20" s="2">
        <v>32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hidden="1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0"/>
        <v>65</v>
      </c>
      <c r="M21" s="6">
        <f t="shared" si="1"/>
        <v>73</v>
      </c>
      <c r="N21" s="6" t="str">
        <f t="shared" si="2"/>
        <v>58 – 73</v>
      </c>
      <c r="O21" s="6">
        <v>2</v>
      </c>
      <c r="P21" s="6"/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hidden="1" x14ac:dyDescent="0.25">
      <c r="A22" s="2">
        <v>21</v>
      </c>
      <c r="B22" s="3" t="s">
        <v>81</v>
      </c>
      <c r="C22" s="2"/>
      <c r="D22" s="2"/>
      <c r="E22" s="2"/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0"/>
        <v>30.5</v>
      </c>
      <c r="M22" s="2">
        <f t="shared" si="1"/>
        <v>28</v>
      </c>
      <c r="N22" s="2" t="str">
        <f t="shared" si="2"/>
        <v>22 – 28</v>
      </c>
      <c r="O22" s="2">
        <v>3</v>
      </c>
      <c r="P22" s="2"/>
      <c r="Q22" s="3" t="s">
        <v>82</v>
      </c>
      <c r="R22" s="2" t="s">
        <v>83</v>
      </c>
      <c r="S22" s="2">
        <v>35</v>
      </c>
      <c r="T22" s="2">
        <f t="shared" si="3"/>
        <v>28</v>
      </c>
      <c r="U22" s="2"/>
      <c r="V22" s="2"/>
    </row>
    <row r="23" spans="1:22" hidden="1" x14ac:dyDescent="0.25">
      <c r="A23" s="6">
        <v>22</v>
      </c>
      <c r="B23" s="7" t="s">
        <v>84</v>
      </c>
      <c r="C23" s="6"/>
      <c r="D23" s="6"/>
      <c r="E23" s="6"/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0"/>
        <v>63</v>
      </c>
      <c r="M23" s="6">
        <f t="shared" si="1"/>
        <v>80</v>
      </c>
      <c r="N23" s="6" t="str">
        <f t="shared" si="2"/>
        <v>64 – 80</v>
      </c>
      <c r="O23" s="6">
        <v>5</v>
      </c>
      <c r="P23" s="6"/>
      <c r="Q23" s="7" t="s">
        <v>85</v>
      </c>
      <c r="R23" s="6" t="s">
        <v>86</v>
      </c>
      <c r="S23" s="6">
        <v>80</v>
      </c>
      <c r="T23" s="6">
        <f t="shared" si="3"/>
        <v>80</v>
      </c>
      <c r="U23" s="6">
        <v>21</v>
      </c>
      <c r="V23" s="6"/>
    </row>
    <row r="24" spans="1:22" hidden="1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0"/>
        <v>49</v>
      </c>
      <c r="M24" s="2">
        <f t="shared" si="1"/>
        <v>39</v>
      </c>
      <c r="N24" s="2" t="str">
        <f t="shared" si="2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hidden="1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0"/>
        <v>74</v>
      </c>
      <c r="M25" s="6">
        <f t="shared" si="1"/>
        <v>91</v>
      </c>
      <c r="N25" s="6" t="str">
        <f t="shared" si="2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hidden="1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0"/>
        <v>45</v>
      </c>
      <c r="M26" s="2">
        <f t="shared" si="1"/>
        <v>36</v>
      </c>
      <c r="N26" s="2" t="str">
        <f t="shared" si="2"/>
        <v>29 – 36</v>
      </c>
      <c r="O26" s="2">
        <v>2</v>
      </c>
      <c r="P26" s="2"/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>
        <v>172</v>
      </c>
      <c r="V26" s="2"/>
    </row>
    <row r="27" spans="1:22" hidden="1" x14ac:dyDescent="0.25">
      <c r="A27" s="6">
        <v>26</v>
      </c>
      <c r="B27" s="7" t="s">
        <v>97</v>
      </c>
      <c r="C27" s="6"/>
      <c r="D27" s="6"/>
      <c r="E27" s="6"/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0"/>
        <v>67.5</v>
      </c>
      <c r="M27" s="6">
        <f t="shared" si="1"/>
        <v>82</v>
      </c>
      <c r="N27" s="6" t="str">
        <f t="shared" si="2"/>
        <v>66 – 82</v>
      </c>
      <c r="O27" s="6">
        <v>5</v>
      </c>
      <c r="P27" s="6"/>
      <c r="Q27" s="7" t="s">
        <v>98</v>
      </c>
      <c r="R27" s="6" t="s">
        <v>96</v>
      </c>
      <c r="S27" s="6">
        <v>120</v>
      </c>
      <c r="T27" s="6">
        <f t="shared" si="3"/>
        <v>82</v>
      </c>
      <c r="U27" s="6">
        <v>25</v>
      </c>
      <c r="V27" s="6" t="s">
        <v>1113</v>
      </c>
    </row>
    <row r="28" spans="1:22" hidden="1" x14ac:dyDescent="0.25">
      <c r="A28" s="2">
        <v>27</v>
      </c>
      <c r="B28" s="3" t="s">
        <v>99</v>
      </c>
      <c r="C28" s="2"/>
      <c r="D28" s="2"/>
      <c r="E28" s="2"/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0"/>
        <v>57.5</v>
      </c>
      <c r="M28" s="2">
        <f t="shared" si="1"/>
        <v>59</v>
      </c>
      <c r="N28" s="2" t="str">
        <f t="shared" si="2"/>
        <v>47 – 59</v>
      </c>
      <c r="O28" s="2">
        <v>3</v>
      </c>
      <c r="P28" s="2"/>
      <c r="Q28" s="3" t="s">
        <v>101</v>
      </c>
      <c r="R28" s="2" t="s">
        <v>102</v>
      </c>
      <c r="S28" s="2">
        <v>70</v>
      </c>
      <c r="T28" s="2">
        <f t="shared" si="3"/>
        <v>59</v>
      </c>
      <c r="U28" s="2"/>
      <c r="V28" s="2"/>
    </row>
    <row r="29" spans="1:22" hidden="1" x14ac:dyDescent="0.25">
      <c r="A29" s="6">
        <v>28</v>
      </c>
      <c r="B29" s="7" t="s">
        <v>103</v>
      </c>
      <c r="C29" s="6"/>
      <c r="D29" s="6"/>
      <c r="E29" s="6"/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0"/>
        <v>82.5</v>
      </c>
      <c r="M29" s="6">
        <f t="shared" si="1"/>
        <v>127</v>
      </c>
      <c r="N29" s="6" t="str">
        <f t="shared" si="2"/>
        <v>102 – 127</v>
      </c>
      <c r="O29" s="6">
        <v>5</v>
      </c>
      <c r="P29" s="6"/>
      <c r="Q29" s="7" t="s">
        <v>104</v>
      </c>
      <c r="R29" s="6" t="s">
        <v>102</v>
      </c>
      <c r="S29" s="6">
        <v>70</v>
      </c>
      <c r="T29" s="6">
        <f t="shared" si="3"/>
        <v>127</v>
      </c>
      <c r="U29" s="6">
        <v>27</v>
      </c>
      <c r="V29" s="6"/>
    </row>
    <row r="30" spans="1:22" hidden="1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0"/>
        <v>46</v>
      </c>
      <c r="M30" s="2">
        <f t="shared" si="1"/>
        <v>49</v>
      </c>
      <c r="N30" s="2" t="str">
        <f t="shared" si="2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hidden="1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0"/>
        <v>61</v>
      </c>
      <c r="M31" s="6">
        <f t="shared" si="1"/>
        <v>82</v>
      </c>
      <c r="N31" s="6" t="str">
        <f t="shared" si="2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hidden="1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0"/>
        <v>86</v>
      </c>
      <c r="M32" s="2">
        <f t="shared" si="1"/>
        <v>159</v>
      </c>
      <c r="N32" s="2" t="str">
        <f t="shared" si="2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 t="s">
        <v>1114</v>
      </c>
    </row>
    <row r="33" spans="1:22" hidden="1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0"/>
        <v>40</v>
      </c>
      <c r="M33" s="6">
        <f t="shared" si="1"/>
        <v>38</v>
      </c>
      <c r="N33" s="6" t="str">
        <f t="shared" si="2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hidden="1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0"/>
        <v>56</v>
      </c>
      <c r="M34" s="2">
        <f t="shared" si="1"/>
        <v>66</v>
      </c>
      <c r="N34" s="2" t="str">
        <f t="shared" si="2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hidden="1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0"/>
        <v>76</v>
      </c>
      <c r="M35" s="6">
        <f t="shared" si="1"/>
        <v>122</v>
      </c>
      <c r="N35" s="6" t="str">
        <f t="shared" si="2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 t="s">
        <v>1114</v>
      </c>
    </row>
    <row r="36" spans="1:22" hidden="1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0"/>
        <v>56.5</v>
      </c>
      <c r="M36" s="2">
        <f t="shared" si="1"/>
        <v>74</v>
      </c>
      <c r="N36" s="2" t="str">
        <f t="shared" si="2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 t="s">
        <v>1115</v>
      </c>
    </row>
    <row r="37" spans="1:22" hidden="1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0"/>
        <v>81.5</v>
      </c>
      <c r="M37" s="6">
        <f t="shared" si="1"/>
        <v>155</v>
      </c>
      <c r="N37" s="6" t="str">
        <f t="shared" si="2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 t="s">
        <v>1114</v>
      </c>
    </row>
    <row r="38" spans="1:22" hidden="1" x14ac:dyDescent="0.25">
      <c r="A38" s="2">
        <v>37</v>
      </c>
      <c r="B38" s="3" t="s">
        <v>127</v>
      </c>
      <c r="C38" s="2">
        <v>22</v>
      </c>
      <c r="D38" s="2">
        <v>42</v>
      </c>
      <c r="E38" s="2">
        <v>45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0"/>
        <v>52.5</v>
      </c>
      <c r="M38" s="2">
        <f t="shared" si="1"/>
        <v>44</v>
      </c>
      <c r="N38" s="2" t="str">
        <f t="shared" si="2"/>
        <v>35 – 44</v>
      </c>
      <c r="O38" s="2">
        <v>2</v>
      </c>
      <c r="P38" s="2"/>
      <c r="Q38" s="3" t="s">
        <v>128</v>
      </c>
      <c r="R38" s="2" t="s">
        <v>129</v>
      </c>
      <c r="S38" s="2">
        <v>95</v>
      </c>
      <c r="T38" s="2">
        <f t="shared" si="3"/>
        <v>22</v>
      </c>
      <c r="U38" s="2"/>
      <c r="V38" s="2"/>
    </row>
    <row r="39" spans="1:22" hidden="1" x14ac:dyDescent="0.25">
      <c r="A39" s="6">
        <v>38</v>
      </c>
      <c r="B39" s="7" t="s">
        <v>130</v>
      </c>
      <c r="C39" s="6"/>
      <c r="D39" s="6"/>
      <c r="E39" s="6"/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0"/>
        <v>87.5</v>
      </c>
      <c r="M39" s="6">
        <f t="shared" si="1"/>
        <v>134</v>
      </c>
      <c r="N39" s="6" t="str">
        <f t="shared" si="2"/>
        <v>107 – 134</v>
      </c>
      <c r="O39" s="6">
        <v>4</v>
      </c>
      <c r="P39" s="6"/>
      <c r="Q39" s="7" t="s">
        <v>131</v>
      </c>
      <c r="R39" s="6" t="s">
        <v>132</v>
      </c>
      <c r="S39" s="6">
        <v>120</v>
      </c>
      <c r="T39" s="6">
        <f t="shared" si="3"/>
        <v>134</v>
      </c>
      <c r="U39" s="6">
        <v>37</v>
      </c>
      <c r="V39" s="6" t="s">
        <v>1116</v>
      </c>
    </row>
    <row r="40" spans="1:22" hidden="1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0"/>
        <v>22.5</v>
      </c>
      <c r="M40" s="2">
        <f t="shared" si="1"/>
        <v>40</v>
      </c>
      <c r="N40" s="2" t="str">
        <f t="shared" si="2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hidden="1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0"/>
        <v>47.5</v>
      </c>
      <c r="M41" s="6">
        <f t="shared" si="1"/>
        <v>107</v>
      </c>
      <c r="N41" s="6" t="str">
        <f t="shared" si="2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 t="s">
        <v>1114</v>
      </c>
    </row>
    <row r="42" spans="1:22" hidden="1" x14ac:dyDescent="0.25">
      <c r="A42" s="2">
        <v>41</v>
      </c>
      <c r="B42" s="3" t="s">
        <v>138</v>
      </c>
      <c r="C42" s="2">
        <v>19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0"/>
        <v>37.5</v>
      </c>
      <c r="M42" s="2">
        <f t="shared" si="1"/>
        <v>33</v>
      </c>
      <c r="N42" s="2" t="str">
        <f t="shared" si="2"/>
        <v>26 – 33</v>
      </c>
      <c r="O42" s="2">
        <v>2</v>
      </c>
      <c r="P42" s="2"/>
      <c r="Q42" s="3" t="s">
        <v>139</v>
      </c>
      <c r="R42" s="2" t="s">
        <v>140</v>
      </c>
      <c r="S42" s="2">
        <v>60</v>
      </c>
      <c r="T42" s="2">
        <f t="shared" si="3"/>
        <v>14</v>
      </c>
      <c r="U42" s="2"/>
      <c r="V42" s="2"/>
    </row>
    <row r="43" spans="1:22" hidden="1" x14ac:dyDescent="0.25">
      <c r="A43" s="6">
        <v>42</v>
      </c>
      <c r="B43" s="7" t="s">
        <v>141</v>
      </c>
      <c r="C43" s="6"/>
      <c r="D43" s="6"/>
      <c r="E43" s="6"/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0"/>
        <v>72.5</v>
      </c>
      <c r="M43" s="6">
        <f t="shared" si="1"/>
        <v>108</v>
      </c>
      <c r="N43" s="6" t="str">
        <f t="shared" si="2"/>
        <v>86 – 108</v>
      </c>
      <c r="O43" s="6">
        <v>3</v>
      </c>
      <c r="P43" s="6"/>
      <c r="Q43" s="7" t="s">
        <v>142</v>
      </c>
      <c r="R43" s="6" t="s">
        <v>143</v>
      </c>
      <c r="S43" s="6">
        <v>75</v>
      </c>
      <c r="T43" s="6">
        <f t="shared" si="3"/>
        <v>108</v>
      </c>
      <c r="U43" s="6">
        <v>41</v>
      </c>
      <c r="V43" s="6"/>
    </row>
    <row r="44" spans="1:22" hidden="1" x14ac:dyDescent="0.25">
      <c r="A44" s="2">
        <v>43</v>
      </c>
      <c r="B44" s="3" t="s">
        <v>144</v>
      </c>
      <c r="C44" s="2"/>
      <c r="D44" s="2"/>
      <c r="E44" s="2"/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0"/>
        <v>60</v>
      </c>
      <c r="M44" s="2">
        <f t="shared" si="1"/>
        <v>57</v>
      </c>
      <c r="N44" s="2" t="str">
        <f t="shared" si="2"/>
        <v>46 – 57</v>
      </c>
      <c r="O44" s="2">
        <v>4</v>
      </c>
      <c r="P44" s="2"/>
      <c r="Q44" s="3" t="s">
        <v>145</v>
      </c>
      <c r="R44" s="2" t="s">
        <v>146</v>
      </c>
      <c r="S44" s="2">
        <v>40</v>
      </c>
      <c r="T44" s="2">
        <f t="shared" si="3"/>
        <v>57</v>
      </c>
      <c r="U44" s="2"/>
      <c r="V44" s="2"/>
    </row>
    <row r="45" spans="1:22" hidden="1" x14ac:dyDescent="0.25">
      <c r="A45" s="6">
        <v>44</v>
      </c>
      <c r="B45" s="7" t="s">
        <v>147</v>
      </c>
      <c r="C45" s="6"/>
      <c r="D45" s="6"/>
      <c r="E45" s="6"/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0"/>
        <v>72.5</v>
      </c>
      <c r="M45" s="6">
        <f t="shared" si="1"/>
        <v>89</v>
      </c>
      <c r="N45" s="6" t="str">
        <f t="shared" si="2"/>
        <v>71 – 89</v>
      </c>
      <c r="O45" s="6">
        <v>5</v>
      </c>
      <c r="P45" s="6"/>
      <c r="Q45" s="7" t="s">
        <v>148</v>
      </c>
      <c r="R45" s="6" t="s">
        <v>149</v>
      </c>
      <c r="S45" s="6">
        <v>70</v>
      </c>
      <c r="T45" s="6">
        <f t="shared" si="3"/>
        <v>89</v>
      </c>
      <c r="U45" s="6">
        <v>43</v>
      </c>
      <c r="V45" s="6"/>
    </row>
    <row r="46" spans="1:22" hidden="1" x14ac:dyDescent="0.25">
      <c r="A46" s="2">
        <v>45</v>
      </c>
      <c r="B46" s="3" t="s">
        <v>150</v>
      </c>
      <c r="C46" s="2"/>
      <c r="D46" s="2"/>
      <c r="E46" s="2"/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0"/>
        <v>87.5</v>
      </c>
      <c r="M46" s="2">
        <f t="shared" si="1"/>
        <v>138</v>
      </c>
      <c r="N46" s="2" t="str">
        <f t="shared" si="2"/>
        <v>110 – 138</v>
      </c>
      <c r="O46" s="2">
        <v>6</v>
      </c>
      <c r="P46" s="2"/>
      <c r="Q46" s="3" t="s">
        <v>151</v>
      </c>
      <c r="R46" s="2" t="s">
        <v>152</v>
      </c>
      <c r="S46" s="2">
        <v>90</v>
      </c>
      <c r="T46" s="2">
        <f t="shared" si="3"/>
        <v>138</v>
      </c>
      <c r="U46" s="2">
        <v>44</v>
      </c>
      <c r="V46" s="2" t="s">
        <v>1117</v>
      </c>
    </row>
    <row r="47" spans="1:22" hidden="1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0"/>
        <v>55</v>
      </c>
      <c r="M47" s="6">
        <f t="shared" si="1"/>
        <v>44</v>
      </c>
      <c r="N47" s="6" t="str">
        <f t="shared" si="2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hidden="1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0"/>
        <v>80</v>
      </c>
      <c r="M48" s="2">
        <f t="shared" si="1"/>
        <v>101</v>
      </c>
      <c r="N48" s="2" t="str">
        <f t="shared" si="2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hidden="1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0"/>
        <v>52.5</v>
      </c>
      <c r="M49" s="6">
        <f t="shared" si="1"/>
        <v>61</v>
      </c>
      <c r="N49" s="6" t="str">
        <f t="shared" si="2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hidden="1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0"/>
        <v>67.5</v>
      </c>
      <c r="M50" s="2">
        <f t="shared" si="1"/>
        <v>93</v>
      </c>
      <c r="N50" s="2" t="str">
        <f t="shared" si="2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hidden="1" x14ac:dyDescent="0.25">
      <c r="A51" s="6">
        <v>50</v>
      </c>
      <c r="B51" s="7" t="s">
        <v>165</v>
      </c>
      <c r="C51" s="6">
        <v>22</v>
      </c>
      <c r="D51" s="6">
        <v>15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0"/>
        <v>35</v>
      </c>
      <c r="M51" s="6">
        <f t="shared" si="1"/>
        <v>19</v>
      </c>
      <c r="N51" s="6" t="str">
        <f t="shared" si="2"/>
        <v>15 – 19</v>
      </c>
      <c r="O51" s="6">
        <v>2</v>
      </c>
      <c r="P51" s="6"/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hidden="1" x14ac:dyDescent="0.25">
      <c r="A52" s="2">
        <v>51</v>
      </c>
      <c r="B52" s="3" t="s">
        <v>168</v>
      </c>
      <c r="C52" s="2"/>
      <c r="D52" s="2"/>
      <c r="E52" s="2"/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0"/>
        <v>60</v>
      </c>
      <c r="M52" s="2">
        <f t="shared" si="1"/>
        <v>48</v>
      </c>
      <c r="N52" s="2" t="str">
        <f t="shared" si="2"/>
        <v>38 – 48</v>
      </c>
      <c r="O52" s="2">
        <v>4</v>
      </c>
      <c r="P52" s="2"/>
      <c r="Q52" s="3" t="s">
        <v>169</v>
      </c>
      <c r="R52" s="2" t="s">
        <v>170</v>
      </c>
      <c r="S52" s="2">
        <v>100</v>
      </c>
      <c r="T52" s="2">
        <f t="shared" si="3"/>
        <v>48</v>
      </c>
      <c r="U52" s="2">
        <v>50</v>
      </c>
      <c r="V52" s="2"/>
    </row>
    <row r="53" spans="1:22" hidden="1" x14ac:dyDescent="0.25">
      <c r="A53" s="6">
        <v>52</v>
      </c>
      <c r="B53" s="7" t="s">
        <v>171</v>
      </c>
      <c r="C53" s="6">
        <v>20</v>
      </c>
      <c r="D53" s="6">
        <v>38</v>
      </c>
      <c r="E53" s="6">
        <v>50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0"/>
        <v>37.5</v>
      </c>
      <c r="M53" s="6">
        <f t="shared" si="1"/>
        <v>33</v>
      </c>
      <c r="N53" s="6" t="str">
        <f t="shared" si="2"/>
        <v>26 – 33</v>
      </c>
      <c r="O53" s="6">
        <v>2</v>
      </c>
      <c r="P53" s="6"/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hidden="1" x14ac:dyDescent="0.25">
      <c r="A54" s="2">
        <v>53</v>
      </c>
      <c r="B54" s="3" t="s">
        <v>174</v>
      </c>
      <c r="C54" s="2"/>
      <c r="D54" s="2"/>
      <c r="E54" s="2"/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0"/>
        <v>62.5</v>
      </c>
      <c r="M54" s="2">
        <f t="shared" si="1"/>
        <v>79</v>
      </c>
      <c r="N54" s="2" t="str">
        <f t="shared" si="2"/>
        <v>63 – 79</v>
      </c>
      <c r="O54" s="2">
        <v>4</v>
      </c>
      <c r="P54" s="2"/>
      <c r="Q54" s="3" t="s">
        <v>175</v>
      </c>
      <c r="R54" s="2" t="s">
        <v>176</v>
      </c>
      <c r="S54" s="2">
        <v>70</v>
      </c>
      <c r="T54" s="2">
        <f t="shared" si="3"/>
        <v>79</v>
      </c>
      <c r="U54" s="2">
        <v>52</v>
      </c>
      <c r="V54" s="2"/>
    </row>
    <row r="55" spans="1:22" hidden="1" x14ac:dyDescent="0.25">
      <c r="A55" s="6">
        <v>54</v>
      </c>
      <c r="B55" s="7" t="s">
        <v>177</v>
      </c>
      <c r="C55" s="6"/>
      <c r="D55" s="6"/>
      <c r="E55" s="6"/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0"/>
        <v>49</v>
      </c>
      <c r="M55" s="6">
        <f t="shared" si="1"/>
        <v>49</v>
      </c>
      <c r="N55" s="6" t="str">
        <f t="shared" si="2"/>
        <v>39 – 49</v>
      </c>
      <c r="O55" s="6">
        <v>3</v>
      </c>
      <c r="P55" s="6"/>
      <c r="Q55" s="7" t="s">
        <v>178</v>
      </c>
      <c r="R55" s="6" t="s">
        <v>179</v>
      </c>
      <c r="S55" s="6">
        <v>50</v>
      </c>
      <c r="T55" s="6">
        <f t="shared" si="3"/>
        <v>49</v>
      </c>
      <c r="U55" s="6"/>
      <c r="V55" s="6"/>
    </row>
    <row r="56" spans="1:22" hidden="1" x14ac:dyDescent="0.25">
      <c r="A56" s="2">
        <v>55</v>
      </c>
      <c r="B56" s="3" t="s">
        <v>180</v>
      </c>
      <c r="C56" s="2"/>
      <c r="D56" s="2"/>
      <c r="E56" s="2"/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0"/>
        <v>79</v>
      </c>
      <c r="M56" s="2">
        <f t="shared" si="1"/>
        <v>127</v>
      </c>
      <c r="N56" s="2" t="str">
        <f t="shared" si="2"/>
        <v>102 – 127</v>
      </c>
      <c r="O56" s="2">
        <v>4</v>
      </c>
      <c r="P56" s="2"/>
      <c r="Q56" s="3" t="s">
        <v>181</v>
      </c>
      <c r="R56" s="2" t="s">
        <v>182</v>
      </c>
      <c r="S56" s="2">
        <v>120</v>
      </c>
      <c r="T56" s="2">
        <f t="shared" si="3"/>
        <v>127</v>
      </c>
      <c r="U56" s="2">
        <v>54</v>
      </c>
      <c r="V56" s="2"/>
    </row>
    <row r="57" spans="1:22" hidden="1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0"/>
        <v>40</v>
      </c>
      <c r="M57" s="6">
        <f t="shared" si="1"/>
        <v>35</v>
      </c>
      <c r="N57" s="6" t="str">
        <f t="shared" si="2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hidden="1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0"/>
        <v>65</v>
      </c>
      <c r="M58" s="2">
        <f t="shared" si="1"/>
        <v>83</v>
      </c>
      <c r="N58" s="2" t="str">
        <f t="shared" si="2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hidden="1" x14ac:dyDescent="0.25">
      <c r="A59" s="6">
        <v>58</v>
      </c>
      <c r="B59" s="7" t="s">
        <v>190</v>
      </c>
      <c r="C59" s="6"/>
      <c r="D59" s="6"/>
      <c r="E59" s="6"/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0"/>
        <v>47.5</v>
      </c>
      <c r="M59" s="6">
        <f t="shared" si="1"/>
        <v>51</v>
      </c>
      <c r="N59" s="6" t="str">
        <f t="shared" si="2"/>
        <v>41 – 51</v>
      </c>
      <c r="O59" s="6">
        <v>4</v>
      </c>
      <c r="P59" s="6"/>
      <c r="Q59" s="7" t="s">
        <v>191</v>
      </c>
      <c r="R59" s="6" t="s">
        <v>192</v>
      </c>
      <c r="S59" s="6">
        <v>120</v>
      </c>
      <c r="T59" s="6">
        <f t="shared" si="3"/>
        <v>51</v>
      </c>
      <c r="U59" s="6"/>
      <c r="V59" s="6"/>
    </row>
    <row r="60" spans="1:22" hidden="1" x14ac:dyDescent="0.25">
      <c r="A60" s="2">
        <v>59</v>
      </c>
      <c r="B60" s="3" t="s">
        <v>193</v>
      </c>
      <c r="C60" s="2"/>
      <c r="D60" s="2"/>
      <c r="E60" s="2"/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0"/>
        <v>80</v>
      </c>
      <c r="M60" s="2">
        <f t="shared" si="1"/>
        <v>144</v>
      </c>
      <c r="N60" s="2" t="str">
        <f t="shared" si="2"/>
        <v>115 – 144</v>
      </c>
      <c r="O60" s="2">
        <v>6</v>
      </c>
      <c r="P60" s="2"/>
      <c r="Q60" s="3" t="s">
        <v>194</v>
      </c>
      <c r="R60" s="2" t="s">
        <v>195</v>
      </c>
      <c r="S60" s="2">
        <v>120</v>
      </c>
      <c r="T60" s="2">
        <f t="shared" si="3"/>
        <v>144</v>
      </c>
      <c r="U60" s="2">
        <v>58</v>
      </c>
      <c r="V60" s="2" t="s">
        <v>1116</v>
      </c>
    </row>
    <row r="61" spans="1:22" hidden="1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0"/>
        <v>40</v>
      </c>
      <c r="M61" s="6">
        <f t="shared" si="1"/>
        <v>35</v>
      </c>
      <c r="N61" s="6" t="str">
        <f t="shared" si="2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hidden="1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0"/>
        <v>57.5</v>
      </c>
      <c r="M62" s="2">
        <f t="shared" si="1"/>
        <v>72</v>
      </c>
      <c r="N62" s="2" t="str">
        <f t="shared" si="2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hidden="1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0"/>
        <v>92.5</v>
      </c>
      <c r="M63" s="6">
        <f t="shared" si="1"/>
        <v>175</v>
      </c>
      <c r="N63" s="6" t="str">
        <f t="shared" si="2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 t="s">
        <v>1118</v>
      </c>
    </row>
    <row r="64" spans="1:22" hidden="1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0"/>
        <v>35</v>
      </c>
      <c r="M64" s="2">
        <f t="shared" si="1"/>
        <v>25</v>
      </c>
      <c r="N64" s="2" t="str">
        <f t="shared" si="2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hidden="1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0"/>
        <v>50</v>
      </c>
      <c r="M65" s="6">
        <f t="shared" si="1"/>
        <v>43</v>
      </c>
      <c r="N65" s="6" t="str">
        <f t="shared" si="2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hidden="1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ref="L66:L129" si="4">AVERAGE(J66,K66)</f>
        <v>70</v>
      </c>
      <c r="M66" s="2">
        <f t="shared" ref="M66:M129" si="5">ROUND(H66*POWER(L66,1.5)/500+15,0)</f>
        <v>79</v>
      </c>
      <c r="N66" s="2" t="str">
        <f t="shared" ref="N66:N129" si="6">TEXT(ROUND(M66*0.8,0),"0")&amp;" – "&amp;TEXT(M66,"0")</f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hidden="1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si="4"/>
        <v>42.5</v>
      </c>
      <c r="M67" s="6">
        <f t="shared" si="5"/>
        <v>54</v>
      </c>
      <c r="N67" s="6" t="str">
        <f t="shared" si="6"/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hidden="1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4"/>
        <v>65</v>
      </c>
      <c r="M68" s="2">
        <f t="shared" si="5"/>
        <v>99</v>
      </c>
      <c r="N68" s="2" t="str">
        <f t="shared" si="6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hidden="1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4"/>
        <v>82.5</v>
      </c>
      <c r="M69" s="6">
        <f t="shared" si="5"/>
        <v>150</v>
      </c>
      <c r="N69" s="6" t="str">
        <f t="shared" si="6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 t="s">
        <v>1119</v>
      </c>
    </row>
    <row r="70" spans="1:22" hidden="1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4"/>
        <v>32.5</v>
      </c>
      <c r="M70" s="2">
        <f t="shared" si="5"/>
        <v>34</v>
      </c>
      <c r="N70" s="2" t="str">
        <f t="shared" si="6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hidden="1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4"/>
        <v>47.5</v>
      </c>
      <c r="M71" s="6">
        <f t="shared" si="5"/>
        <v>58</v>
      </c>
      <c r="N71" s="6" t="str">
        <f t="shared" si="6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hidden="1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4"/>
        <v>67.5</v>
      </c>
      <c r="M72" s="2">
        <f t="shared" si="5"/>
        <v>104</v>
      </c>
      <c r="N72" s="2" t="str">
        <f t="shared" si="6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 t="s">
        <v>1117</v>
      </c>
    </row>
    <row r="73" spans="1:22" hidden="1" x14ac:dyDescent="0.25">
      <c r="A73" s="6">
        <v>72</v>
      </c>
      <c r="B73" s="7" t="s">
        <v>228</v>
      </c>
      <c r="C73" s="6">
        <v>21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4"/>
        <v>67.5</v>
      </c>
      <c r="M73" s="6">
        <f t="shared" si="5"/>
        <v>59</v>
      </c>
      <c r="N73" s="6" t="str">
        <f t="shared" si="6"/>
        <v>47 – 59</v>
      </c>
      <c r="O73" s="6">
        <v>2</v>
      </c>
      <c r="P73" s="6"/>
      <c r="Q73" s="7" t="s">
        <v>229</v>
      </c>
      <c r="R73" s="6" t="s">
        <v>230</v>
      </c>
      <c r="S73" s="6">
        <v>65</v>
      </c>
      <c r="T73" s="6">
        <f t="shared" si="7"/>
        <v>38</v>
      </c>
      <c r="U73" s="6"/>
      <c r="V73" s="6"/>
    </row>
    <row r="74" spans="1:22" hidden="1" x14ac:dyDescent="0.25">
      <c r="A74" s="2">
        <v>73</v>
      </c>
      <c r="B74" s="3" t="s">
        <v>231</v>
      </c>
      <c r="C74" s="2"/>
      <c r="D74" s="2"/>
      <c r="E74" s="2"/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4"/>
        <v>92.5</v>
      </c>
      <c r="M74" s="2">
        <f t="shared" si="5"/>
        <v>157</v>
      </c>
      <c r="N74" s="2" t="str">
        <f t="shared" si="6"/>
        <v>126 – 157</v>
      </c>
      <c r="O74" s="2">
        <v>4</v>
      </c>
      <c r="P74" s="2"/>
      <c r="Q74" s="3" t="s">
        <v>232</v>
      </c>
      <c r="R74" s="2" t="s">
        <v>233</v>
      </c>
      <c r="S74" s="2">
        <v>120</v>
      </c>
      <c r="T74" s="2">
        <f t="shared" si="7"/>
        <v>157</v>
      </c>
      <c r="U74" s="2">
        <v>72</v>
      </c>
      <c r="V74" s="2"/>
    </row>
    <row r="75" spans="1:22" hidden="1" x14ac:dyDescent="0.25">
      <c r="A75" s="6">
        <v>74</v>
      </c>
      <c r="B75" s="7" t="s">
        <v>234</v>
      </c>
      <c r="C75" s="6"/>
      <c r="D75" s="6"/>
      <c r="E75" s="6"/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4"/>
        <v>65</v>
      </c>
      <c r="M75" s="6">
        <f t="shared" si="5"/>
        <v>57</v>
      </c>
      <c r="N75" s="6" t="str">
        <f t="shared" si="6"/>
        <v>46 – 57</v>
      </c>
      <c r="O75" s="6">
        <v>3</v>
      </c>
      <c r="P75" s="6"/>
      <c r="Q75" s="7" t="s">
        <v>236</v>
      </c>
      <c r="R75" s="6" t="s">
        <v>237</v>
      </c>
      <c r="S75" s="6">
        <v>50</v>
      </c>
      <c r="T75" s="6">
        <f t="shared" si="7"/>
        <v>57</v>
      </c>
      <c r="U75" s="6"/>
      <c r="V75" s="6"/>
    </row>
    <row r="76" spans="1:22" hidden="1" x14ac:dyDescent="0.25">
      <c r="A76" s="2">
        <v>75</v>
      </c>
      <c r="B76" s="3" t="s">
        <v>238</v>
      </c>
      <c r="C76" s="2"/>
      <c r="D76" s="2"/>
      <c r="E76" s="2"/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4"/>
        <v>80</v>
      </c>
      <c r="M76" s="2">
        <f t="shared" si="5"/>
        <v>94</v>
      </c>
      <c r="N76" s="2" t="str">
        <f t="shared" si="6"/>
        <v>75 – 94</v>
      </c>
      <c r="O76" s="2">
        <v>4</v>
      </c>
      <c r="P76" s="2"/>
      <c r="Q76" s="3" t="s">
        <v>239</v>
      </c>
      <c r="R76" s="2" t="s">
        <v>240</v>
      </c>
      <c r="S76" s="2">
        <v>100</v>
      </c>
      <c r="T76" s="2">
        <f t="shared" si="7"/>
        <v>94</v>
      </c>
      <c r="U76" s="2">
        <v>74</v>
      </c>
      <c r="V76" s="2"/>
    </row>
    <row r="77" spans="1:22" hidden="1" x14ac:dyDescent="0.25">
      <c r="A77" s="6">
        <v>76</v>
      </c>
      <c r="B77" s="7" t="s">
        <v>241</v>
      </c>
      <c r="C77" s="6"/>
      <c r="D77" s="6"/>
      <c r="E77" s="6"/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4"/>
        <v>97.5</v>
      </c>
      <c r="M77" s="6">
        <f t="shared" si="5"/>
        <v>169</v>
      </c>
      <c r="N77" s="6" t="str">
        <f t="shared" si="6"/>
        <v>135 – 169</v>
      </c>
      <c r="O77" s="6">
        <v>5</v>
      </c>
      <c r="P77" s="6"/>
      <c r="Q77" s="7" t="s">
        <v>242</v>
      </c>
      <c r="R77" s="6" t="s">
        <v>240</v>
      </c>
      <c r="S77" s="6">
        <v>100</v>
      </c>
      <c r="T77" s="6">
        <f t="shared" si="7"/>
        <v>169</v>
      </c>
      <c r="U77" s="6">
        <v>75</v>
      </c>
      <c r="V77" s="6"/>
    </row>
    <row r="78" spans="1:22" hidden="1" x14ac:dyDescent="0.25">
      <c r="A78" s="2">
        <v>77</v>
      </c>
      <c r="B78" s="3" t="s">
        <v>243</v>
      </c>
      <c r="C78" s="2"/>
      <c r="D78" s="2"/>
      <c r="E78" s="2"/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4"/>
        <v>60</v>
      </c>
      <c r="M78" s="2">
        <f t="shared" si="5"/>
        <v>61</v>
      </c>
      <c r="N78" s="2" t="str">
        <f t="shared" si="6"/>
        <v>49 – 61</v>
      </c>
      <c r="O78" s="2">
        <v>3</v>
      </c>
      <c r="P78" s="2"/>
      <c r="Q78" s="3" t="s">
        <v>244</v>
      </c>
      <c r="R78" s="2" t="s">
        <v>245</v>
      </c>
      <c r="S78" s="2">
        <v>40</v>
      </c>
      <c r="T78" s="2">
        <f t="shared" si="7"/>
        <v>61</v>
      </c>
      <c r="U78" s="2"/>
      <c r="V78" s="2"/>
    </row>
    <row r="79" spans="1:22" hidden="1" x14ac:dyDescent="0.25">
      <c r="A79" s="6">
        <v>78</v>
      </c>
      <c r="B79" s="7" t="s">
        <v>246</v>
      </c>
      <c r="C79" s="6"/>
      <c r="D79" s="6"/>
      <c r="E79" s="6"/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4"/>
        <v>75</v>
      </c>
      <c r="M79" s="6">
        <f t="shared" si="5"/>
        <v>99</v>
      </c>
      <c r="N79" s="6" t="str">
        <f t="shared" si="6"/>
        <v>79 – 99</v>
      </c>
      <c r="O79" s="6">
        <v>5</v>
      </c>
      <c r="P79" s="6"/>
      <c r="Q79" s="7" t="s">
        <v>247</v>
      </c>
      <c r="R79" s="6" t="s">
        <v>245</v>
      </c>
      <c r="S79" s="6">
        <v>40</v>
      </c>
      <c r="T79" s="6">
        <f t="shared" si="7"/>
        <v>99</v>
      </c>
      <c r="U79" s="6">
        <v>77</v>
      </c>
      <c r="V79" s="6"/>
    </row>
    <row r="80" spans="1:22" hidden="1" x14ac:dyDescent="0.25">
      <c r="A80" s="2">
        <v>79</v>
      </c>
      <c r="B80" s="3" t="s">
        <v>248</v>
      </c>
      <c r="C80" s="2"/>
      <c r="D80" s="2"/>
      <c r="E80" s="2"/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4"/>
        <v>52.5</v>
      </c>
      <c r="M80" s="2">
        <f t="shared" si="5"/>
        <v>83</v>
      </c>
      <c r="N80" s="2" t="str">
        <f t="shared" si="6"/>
        <v>66 – 83</v>
      </c>
      <c r="O80" s="2"/>
      <c r="P80" s="2"/>
      <c r="Q80" s="3" t="s">
        <v>249</v>
      </c>
      <c r="R80" s="2" t="s">
        <v>250</v>
      </c>
      <c r="S80" s="2">
        <v>50</v>
      </c>
      <c r="T80" s="2">
        <f t="shared" si="7"/>
        <v>83</v>
      </c>
      <c r="U80" s="2"/>
      <c r="V80" s="2"/>
    </row>
    <row r="81" spans="1:22" hidden="1" x14ac:dyDescent="0.25">
      <c r="A81" s="6">
        <v>80</v>
      </c>
      <c r="B81" s="7" t="s">
        <v>251</v>
      </c>
      <c r="C81" s="6"/>
      <c r="D81" s="6"/>
      <c r="E81" s="6"/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4"/>
        <v>95</v>
      </c>
      <c r="M81" s="6">
        <f t="shared" si="5"/>
        <v>191</v>
      </c>
      <c r="N81" s="6" t="str">
        <f t="shared" si="6"/>
        <v>153 – 191</v>
      </c>
      <c r="O81" s="6"/>
      <c r="P81" s="6"/>
      <c r="Q81" s="7" t="s">
        <v>252</v>
      </c>
      <c r="R81" s="6" t="s">
        <v>253</v>
      </c>
      <c r="S81" s="6">
        <v>90</v>
      </c>
      <c r="T81" s="6">
        <f t="shared" si="7"/>
        <v>191</v>
      </c>
      <c r="U81" s="6">
        <v>79</v>
      </c>
      <c r="V81" s="6"/>
    </row>
    <row r="82" spans="1:22" hidden="1" x14ac:dyDescent="0.25">
      <c r="A82" s="2">
        <v>81</v>
      </c>
      <c r="B82" s="3" t="s">
        <v>254</v>
      </c>
      <c r="C82" s="2"/>
      <c r="D82" s="2"/>
      <c r="E82" s="2"/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4"/>
        <v>62.5</v>
      </c>
      <c r="M82" s="2">
        <f t="shared" si="5"/>
        <v>40</v>
      </c>
      <c r="N82" s="2" t="str">
        <f t="shared" si="6"/>
        <v>32 – 40</v>
      </c>
      <c r="O82" s="2">
        <v>3</v>
      </c>
      <c r="P82" s="2"/>
      <c r="Q82" s="3" t="s">
        <v>256</v>
      </c>
      <c r="R82" s="2" t="s">
        <v>257</v>
      </c>
      <c r="S82" s="2">
        <v>65</v>
      </c>
      <c r="T82" s="2">
        <f t="shared" si="7"/>
        <v>40</v>
      </c>
      <c r="U82" s="2"/>
      <c r="V82" s="2"/>
    </row>
    <row r="83" spans="1:22" hidden="1" x14ac:dyDescent="0.25">
      <c r="A83" s="6">
        <v>82</v>
      </c>
      <c r="B83" s="7" t="s">
        <v>258</v>
      </c>
      <c r="C83" s="6"/>
      <c r="D83" s="6"/>
      <c r="E83" s="6"/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4"/>
        <v>82.5</v>
      </c>
      <c r="M83" s="6">
        <f t="shared" si="5"/>
        <v>90</v>
      </c>
      <c r="N83" s="6" t="str">
        <f t="shared" si="6"/>
        <v>72 – 90</v>
      </c>
      <c r="O83" s="6">
        <v>5</v>
      </c>
      <c r="P83" s="6"/>
      <c r="Q83" s="7" t="s">
        <v>259</v>
      </c>
      <c r="R83" s="6" t="s">
        <v>260</v>
      </c>
      <c r="S83" s="6">
        <v>120</v>
      </c>
      <c r="T83" s="6">
        <f t="shared" si="7"/>
        <v>90</v>
      </c>
      <c r="U83" s="6">
        <v>81</v>
      </c>
      <c r="V83" s="6"/>
    </row>
    <row r="84" spans="1:22" hidden="1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4"/>
        <v>58.5</v>
      </c>
      <c r="M84" s="2">
        <f t="shared" si="5"/>
        <v>62</v>
      </c>
      <c r="N84" s="2" t="str">
        <f t="shared" si="6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hidden="1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4"/>
        <v>40</v>
      </c>
      <c r="M85" s="6">
        <f t="shared" si="5"/>
        <v>33</v>
      </c>
      <c r="N85" s="6" t="str">
        <f t="shared" si="6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hidden="1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4"/>
        <v>65</v>
      </c>
      <c r="M86" s="2">
        <f t="shared" si="5"/>
        <v>78</v>
      </c>
      <c r="N86" s="2" t="str">
        <f t="shared" si="6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hidden="1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4"/>
        <v>62.5</v>
      </c>
      <c r="M87" s="6">
        <f t="shared" si="5"/>
        <v>79</v>
      </c>
      <c r="N87" s="6" t="str">
        <f t="shared" si="6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hidden="1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4"/>
        <v>87.5</v>
      </c>
      <c r="M88" s="2">
        <f t="shared" si="5"/>
        <v>162</v>
      </c>
      <c r="N88" s="2" t="str">
        <f t="shared" si="6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hidden="1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4"/>
        <v>50</v>
      </c>
      <c r="M89" s="6">
        <f t="shared" si="5"/>
        <v>72</v>
      </c>
      <c r="N89" s="6" t="str">
        <f t="shared" si="6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hidden="1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4"/>
        <v>87.5</v>
      </c>
      <c r="M90" s="2">
        <f t="shared" si="5"/>
        <v>187</v>
      </c>
      <c r="N90" s="2" t="str">
        <f t="shared" si="6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hidden="1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4"/>
        <v>62.5</v>
      </c>
      <c r="M91" s="6">
        <f t="shared" si="5"/>
        <v>45</v>
      </c>
      <c r="N91" s="6" t="str">
        <f t="shared" si="6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hidden="1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4"/>
        <v>112.5</v>
      </c>
      <c r="M92" s="2">
        <f t="shared" si="5"/>
        <v>134</v>
      </c>
      <c r="N92" s="2" t="str">
        <f t="shared" si="6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 t="s">
        <v>1118</v>
      </c>
    </row>
    <row r="93" spans="1:22" hidden="1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4"/>
        <v>32.5</v>
      </c>
      <c r="M93" s="6">
        <f t="shared" si="5"/>
        <v>26</v>
      </c>
      <c r="N93" s="6" t="str">
        <f t="shared" si="6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hidden="1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4"/>
        <v>50</v>
      </c>
      <c r="M94" s="2">
        <f t="shared" si="5"/>
        <v>47</v>
      </c>
      <c r="N94" s="2" t="str">
        <f t="shared" si="6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hidden="1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4"/>
        <v>67.5</v>
      </c>
      <c r="M95" s="6">
        <f t="shared" si="5"/>
        <v>82</v>
      </c>
      <c r="N95" s="6" t="str">
        <f t="shared" si="6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hidden="1" x14ac:dyDescent="0.25">
      <c r="A96" s="2">
        <v>95</v>
      </c>
      <c r="B96" s="3" t="s">
        <v>297</v>
      </c>
      <c r="C96" s="2"/>
      <c r="D96" s="2"/>
      <c r="E96" s="2"/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4"/>
        <v>102.5</v>
      </c>
      <c r="M96" s="2">
        <f t="shared" si="5"/>
        <v>88</v>
      </c>
      <c r="N96" s="2" t="str">
        <f t="shared" si="6"/>
        <v>70 – 88</v>
      </c>
      <c r="O96" s="2">
        <v>3</v>
      </c>
      <c r="P96" s="2"/>
      <c r="Q96" s="3" t="s">
        <v>298</v>
      </c>
      <c r="R96" s="2" t="s">
        <v>299</v>
      </c>
      <c r="S96" s="2">
        <v>50</v>
      </c>
      <c r="T96" s="2">
        <f t="shared" si="7"/>
        <v>88</v>
      </c>
      <c r="U96" s="2"/>
      <c r="V96" s="2"/>
    </row>
    <row r="97" spans="1:22" hidden="1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4"/>
        <v>67.5</v>
      </c>
      <c r="M97" s="6">
        <f t="shared" si="5"/>
        <v>82</v>
      </c>
      <c r="N97" s="6" t="str">
        <f t="shared" si="6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hidden="1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4"/>
        <v>92.5</v>
      </c>
      <c r="M98" s="2">
        <f t="shared" si="5"/>
        <v>166</v>
      </c>
      <c r="N98" s="2" t="str">
        <f t="shared" si="6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hidden="1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4"/>
        <v>57.5</v>
      </c>
      <c r="M99" s="6">
        <f t="shared" si="5"/>
        <v>41</v>
      </c>
      <c r="N99" s="6" t="str">
        <f t="shared" si="6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hidden="1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4"/>
        <v>82.5</v>
      </c>
      <c r="M100" s="2">
        <f t="shared" si="5"/>
        <v>97</v>
      </c>
      <c r="N100" s="2" t="str">
        <f t="shared" si="6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hidden="1" x14ac:dyDescent="0.25">
      <c r="A101" s="6">
        <v>100</v>
      </c>
      <c r="B101" s="7" t="s">
        <v>312</v>
      </c>
      <c r="C101" s="6"/>
      <c r="D101" s="6"/>
      <c r="E101" s="6"/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4"/>
        <v>52.5</v>
      </c>
      <c r="M101" s="6">
        <f t="shared" si="5"/>
        <v>45</v>
      </c>
      <c r="N101" s="6" t="str">
        <f t="shared" si="6"/>
        <v>36 – 45</v>
      </c>
      <c r="O101" s="6">
        <v>3</v>
      </c>
      <c r="P101" s="6"/>
      <c r="Q101" s="7" t="s">
        <v>313</v>
      </c>
      <c r="R101" s="6" t="s">
        <v>314</v>
      </c>
      <c r="S101" s="6">
        <v>65</v>
      </c>
      <c r="T101" s="6">
        <f t="shared" si="7"/>
        <v>45</v>
      </c>
      <c r="U101" s="6"/>
      <c r="V101" s="6"/>
    </row>
    <row r="102" spans="1:22" hidden="1" x14ac:dyDescent="0.25">
      <c r="A102" s="2">
        <v>101</v>
      </c>
      <c r="B102" s="3" t="s">
        <v>315</v>
      </c>
      <c r="C102" s="2"/>
      <c r="D102" s="2"/>
      <c r="E102" s="2"/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4"/>
        <v>75</v>
      </c>
      <c r="M102" s="2">
        <f t="shared" si="5"/>
        <v>93</v>
      </c>
      <c r="N102" s="2" t="str">
        <f t="shared" si="6"/>
        <v>74 – 93</v>
      </c>
      <c r="O102" s="2">
        <v>4</v>
      </c>
      <c r="P102" s="2"/>
      <c r="Q102" s="3" t="s">
        <v>316</v>
      </c>
      <c r="R102" s="2" t="s">
        <v>314</v>
      </c>
      <c r="S102" s="2">
        <v>65</v>
      </c>
      <c r="T102" s="2">
        <f t="shared" si="7"/>
        <v>93</v>
      </c>
      <c r="U102" s="2">
        <v>100</v>
      </c>
      <c r="V102" s="2"/>
    </row>
    <row r="103" spans="1:22" hidden="1" x14ac:dyDescent="0.25">
      <c r="A103" s="6">
        <v>102</v>
      </c>
      <c r="B103" s="7" t="s">
        <v>317</v>
      </c>
      <c r="C103" s="6"/>
      <c r="D103" s="6"/>
      <c r="E103" s="6"/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4"/>
        <v>62.5</v>
      </c>
      <c r="M103" s="6">
        <f t="shared" si="5"/>
        <v>74</v>
      </c>
      <c r="N103" s="6" t="str">
        <f t="shared" si="6"/>
        <v>59 – 74</v>
      </c>
      <c r="O103" s="6">
        <v>3</v>
      </c>
      <c r="P103" s="6"/>
      <c r="Q103" s="7" t="s">
        <v>318</v>
      </c>
      <c r="R103" s="6" t="s">
        <v>319</v>
      </c>
      <c r="S103" s="6">
        <v>120</v>
      </c>
      <c r="T103" s="6">
        <f t="shared" si="7"/>
        <v>74</v>
      </c>
      <c r="U103" s="6"/>
      <c r="V103" s="6"/>
    </row>
    <row r="104" spans="1:22" hidden="1" x14ac:dyDescent="0.25">
      <c r="A104" s="2">
        <v>103</v>
      </c>
      <c r="B104" s="3" t="s">
        <v>320</v>
      </c>
      <c r="C104" s="2"/>
      <c r="D104" s="2"/>
      <c r="E104" s="2"/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4"/>
        <v>80</v>
      </c>
      <c r="M104" s="2">
        <f t="shared" si="5"/>
        <v>151</v>
      </c>
      <c r="N104" s="2" t="str">
        <f t="shared" si="6"/>
        <v>121 – 151</v>
      </c>
      <c r="O104" s="2">
        <v>4</v>
      </c>
      <c r="P104" s="2"/>
      <c r="Q104" s="3" t="s">
        <v>321</v>
      </c>
      <c r="R104" s="2" t="s">
        <v>319</v>
      </c>
      <c r="S104" s="2">
        <v>120</v>
      </c>
      <c r="T104" s="2">
        <f t="shared" si="7"/>
        <v>151</v>
      </c>
      <c r="U104" s="2">
        <v>102</v>
      </c>
      <c r="V104" s="2" t="s">
        <v>1117</v>
      </c>
    </row>
    <row r="105" spans="1:22" hidden="1" x14ac:dyDescent="0.25">
      <c r="A105" s="6">
        <v>104</v>
      </c>
      <c r="B105" s="7" t="s">
        <v>322</v>
      </c>
      <c r="C105" s="6"/>
      <c r="D105" s="6"/>
      <c r="E105" s="6"/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4"/>
        <v>72.5</v>
      </c>
      <c r="M105" s="6">
        <f t="shared" si="5"/>
        <v>77</v>
      </c>
      <c r="N105" s="6" t="str">
        <f t="shared" si="6"/>
        <v>62 – 77</v>
      </c>
      <c r="O105" s="6">
        <v>3</v>
      </c>
      <c r="P105" s="6"/>
      <c r="Q105" s="7" t="s">
        <v>323</v>
      </c>
      <c r="R105" s="6" t="s">
        <v>324</v>
      </c>
      <c r="S105" s="6">
        <v>65</v>
      </c>
      <c r="T105" s="6">
        <f t="shared" si="7"/>
        <v>77</v>
      </c>
      <c r="U105" s="6"/>
      <c r="V105" s="6"/>
    </row>
    <row r="106" spans="1:22" hidden="1" x14ac:dyDescent="0.25">
      <c r="A106" s="2">
        <v>105</v>
      </c>
      <c r="B106" s="3" t="s">
        <v>325</v>
      </c>
      <c r="C106" s="2"/>
      <c r="D106" s="2"/>
      <c r="E106" s="2"/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4"/>
        <v>95</v>
      </c>
      <c r="M106" s="2">
        <f t="shared" si="5"/>
        <v>126</v>
      </c>
      <c r="N106" s="2" t="str">
        <f t="shared" si="6"/>
        <v>101 – 126</v>
      </c>
      <c r="O106" s="2">
        <v>5</v>
      </c>
      <c r="P106" s="2"/>
      <c r="Q106" s="3" t="s">
        <v>326</v>
      </c>
      <c r="R106" s="2" t="s">
        <v>324</v>
      </c>
      <c r="S106" s="2">
        <v>65</v>
      </c>
      <c r="T106" s="2">
        <f t="shared" si="7"/>
        <v>126</v>
      </c>
      <c r="U106" s="2">
        <v>104</v>
      </c>
      <c r="V106" s="2" t="s">
        <v>1120</v>
      </c>
    </row>
    <row r="107" spans="1:22" hidden="1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4"/>
        <v>81.5</v>
      </c>
      <c r="M107" s="6">
        <f t="shared" si="5"/>
        <v>89</v>
      </c>
      <c r="N107" s="6" t="str">
        <f t="shared" si="6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hidden="1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4"/>
        <v>94.5</v>
      </c>
      <c r="M108" s="2">
        <f t="shared" si="5"/>
        <v>107</v>
      </c>
      <c r="N108" s="2" t="str">
        <f t="shared" si="6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hidden="1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4"/>
        <v>75</v>
      </c>
      <c r="M109" s="6">
        <f t="shared" si="5"/>
        <v>132</v>
      </c>
      <c r="N109" s="6" t="str">
        <f t="shared" si="6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hidden="1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4"/>
        <v>70</v>
      </c>
      <c r="M110" s="2">
        <f t="shared" si="5"/>
        <v>62</v>
      </c>
      <c r="N110" s="2" t="str">
        <f t="shared" si="6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hidden="1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4"/>
        <v>95</v>
      </c>
      <c r="M111" s="6">
        <f t="shared" si="5"/>
        <v>135</v>
      </c>
      <c r="N111" s="6" t="str">
        <f t="shared" si="6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hidden="1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4"/>
        <v>62.5</v>
      </c>
      <c r="M112" s="2">
        <f t="shared" si="5"/>
        <v>94</v>
      </c>
      <c r="N112" s="2" t="str">
        <f t="shared" si="6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hidden="1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4"/>
        <v>82.5</v>
      </c>
      <c r="M113" s="6">
        <f t="shared" si="5"/>
        <v>172</v>
      </c>
      <c r="N113" s="6" t="str">
        <f t="shared" si="6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hidden="1" x14ac:dyDescent="0.25">
      <c r="A114" s="2">
        <v>113</v>
      </c>
      <c r="B114" s="3" t="s">
        <v>346</v>
      </c>
      <c r="C114" s="2"/>
      <c r="D114" s="2"/>
      <c r="E114" s="2"/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4"/>
        <v>55</v>
      </c>
      <c r="M114" s="2">
        <f t="shared" si="5"/>
        <v>219</v>
      </c>
      <c r="N114" s="2" t="str">
        <f t="shared" si="6"/>
        <v>175 – 219</v>
      </c>
      <c r="O114" s="2">
        <v>3</v>
      </c>
      <c r="P114" s="2"/>
      <c r="Q114" s="3" t="s">
        <v>347</v>
      </c>
      <c r="R114" s="2" t="s">
        <v>348</v>
      </c>
      <c r="S114" s="2">
        <v>120</v>
      </c>
      <c r="T114" s="2">
        <f t="shared" si="7"/>
        <v>219</v>
      </c>
      <c r="U114" s="2">
        <v>242</v>
      </c>
      <c r="V114" s="2"/>
    </row>
    <row r="115" spans="1:22" hidden="1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4"/>
        <v>77.5</v>
      </c>
      <c r="M115" s="6">
        <f t="shared" si="5"/>
        <v>104</v>
      </c>
      <c r="N115" s="6" t="str">
        <f t="shared" si="6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hidden="1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4"/>
        <v>80</v>
      </c>
      <c r="M116" s="2">
        <f t="shared" si="5"/>
        <v>165</v>
      </c>
      <c r="N116" s="2" t="str">
        <f t="shared" si="6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hidden="1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4"/>
        <v>47.5</v>
      </c>
      <c r="M117" s="6">
        <f t="shared" si="5"/>
        <v>35</v>
      </c>
      <c r="N117" s="6" t="str">
        <f t="shared" si="6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hidden="1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4"/>
        <v>70</v>
      </c>
      <c r="M118" s="2">
        <f t="shared" si="5"/>
        <v>79</v>
      </c>
      <c r="N118" s="2" t="str">
        <f t="shared" si="6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hidden="1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4"/>
        <v>55</v>
      </c>
      <c r="M119" s="6">
        <f t="shared" si="5"/>
        <v>52</v>
      </c>
      <c r="N119" s="6" t="str">
        <f t="shared" si="6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hidden="1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4"/>
        <v>72.5</v>
      </c>
      <c r="M120" s="2">
        <f t="shared" si="5"/>
        <v>114</v>
      </c>
      <c r="N120" s="2" t="str">
        <f t="shared" si="6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hidden="1" x14ac:dyDescent="0.25">
      <c r="A121" s="6">
        <v>120</v>
      </c>
      <c r="B121" s="7" t="s">
        <v>367</v>
      </c>
      <c r="C121" s="6"/>
      <c r="D121" s="6"/>
      <c r="E121" s="6"/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4"/>
        <v>55</v>
      </c>
      <c r="M121" s="6">
        <f t="shared" si="5"/>
        <v>39</v>
      </c>
      <c r="N121" s="6" t="str">
        <f t="shared" si="6"/>
        <v>31 – 39</v>
      </c>
      <c r="O121" s="6">
        <v>4</v>
      </c>
      <c r="P121" s="6"/>
      <c r="Q121" s="7" t="s">
        <v>368</v>
      </c>
      <c r="R121" s="6" t="s">
        <v>369</v>
      </c>
      <c r="S121" s="6">
        <v>120</v>
      </c>
      <c r="T121" s="6">
        <f t="shared" si="7"/>
        <v>39</v>
      </c>
      <c r="U121" s="6"/>
      <c r="V121" s="6"/>
    </row>
    <row r="122" spans="1:22" hidden="1" x14ac:dyDescent="0.25">
      <c r="A122" s="2">
        <v>121</v>
      </c>
      <c r="B122" s="3" t="s">
        <v>370</v>
      </c>
      <c r="C122" s="2"/>
      <c r="D122" s="2"/>
      <c r="E122" s="2"/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4"/>
        <v>85</v>
      </c>
      <c r="M122" s="2">
        <f t="shared" si="5"/>
        <v>109</v>
      </c>
      <c r="N122" s="2" t="str">
        <f t="shared" si="6"/>
        <v>87 – 109</v>
      </c>
      <c r="O122" s="2">
        <v>5</v>
      </c>
      <c r="P122" s="2"/>
      <c r="Q122" s="3" t="s">
        <v>371</v>
      </c>
      <c r="R122" s="2" t="s">
        <v>369</v>
      </c>
      <c r="S122" s="2">
        <v>120</v>
      </c>
      <c r="T122" s="2">
        <f t="shared" si="7"/>
        <v>109</v>
      </c>
      <c r="U122" s="2">
        <v>120</v>
      </c>
      <c r="V122" s="2" t="s">
        <v>1118</v>
      </c>
    </row>
    <row r="123" spans="1:22" hidden="1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4"/>
        <v>92.5</v>
      </c>
      <c r="M123" s="6">
        <f t="shared" si="5"/>
        <v>86</v>
      </c>
      <c r="N123" s="6" t="str">
        <f t="shared" si="6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hidden="1" x14ac:dyDescent="0.25">
      <c r="A124" s="2">
        <v>123</v>
      </c>
      <c r="B124" s="3" t="s">
        <v>375</v>
      </c>
      <c r="C124" s="2"/>
      <c r="D124" s="2"/>
      <c r="E124" s="2"/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4"/>
        <v>80</v>
      </c>
      <c r="M124" s="2">
        <f t="shared" si="5"/>
        <v>115</v>
      </c>
      <c r="N124" s="2" t="str">
        <f t="shared" si="6"/>
        <v>92 – 115</v>
      </c>
      <c r="O124" s="2">
        <v>5</v>
      </c>
      <c r="P124" s="2"/>
      <c r="Q124" s="3" t="s">
        <v>376</v>
      </c>
      <c r="R124" s="2" t="s">
        <v>377</v>
      </c>
      <c r="S124" s="2">
        <v>80</v>
      </c>
      <c r="T124" s="2">
        <f t="shared" si="7"/>
        <v>115</v>
      </c>
      <c r="U124" s="2"/>
      <c r="V124" s="2"/>
    </row>
    <row r="125" spans="1:22" hidden="1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4"/>
        <v>65</v>
      </c>
      <c r="M125" s="6">
        <f t="shared" si="5"/>
        <v>83</v>
      </c>
      <c r="N125" s="6" t="str">
        <f t="shared" si="6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hidden="1" x14ac:dyDescent="0.25">
      <c r="A126" s="2">
        <v>125</v>
      </c>
      <c r="B126" s="3" t="s">
        <v>381</v>
      </c>
      <c r="C126" s="2"/>
      <c r="D126" s="2"/>
      <c r="E126" s="2"/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4"/>
        <v>71</v>
      </c>
      <c r="M126" s="2">
        <f t="shared" si="5"/>
        <v>93</v>
      </c>
      <c r="N126" s="2" t="str">
        <f t="shared" si="6"/>
        <v>74 – 93</v>
      </c>
      <c r="O126" s="2">
        <v>4</v>
      </c>
      <c r="P126" s="2"/>
      <c r="Q126" s="3" t="s">
        <v>382</v>
      </c>
      <c r="R126" s="2" t="s">
        <v>383</v>
      </c>
      <c r="S126" s="2">
        <v>120</v>
      </c>
      <c r="T126" s="2">
        <f t="shared" si="7"/>
        <v>93</v>
      </c>
      <c r="U126" s="2">
        <v>239</v>
      </c>
      <c r="V126" s="2"/>
    </row>
    <row r="127" spans="1:22" hidden="1" x14ac:dyDescent="0.25">
      <c r="A127" s="6">
        <v>126</v>
      </c>
      <c r="B127" s="7" t="s">
        <v>384</v>
      </c>
      <c r="C127" s="6"/>
      <c r="D127" s="6"/>
      <c r="E127" s="6"/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4"/>
        <v>71</v>
      </c>
      <c r="M127" s="6">
        <f t="shared" si="5"/>
        <v>93</v>
      </c>
      <c r="N127" s="6" t="str">
        <f t="shared" si="6"/>
        <v>74 – 93</v>
      </c>
      <c r="O127" s="6">
        <v>4</v>
      </c>
      <c r="P127" s="6"/>
      <c r="Q127" s="7" t="s">
        <v>385</v>
      </c>
      <c r="R127" s="6" t="s">
        <v>386</v>
      </c>
      <c r="S127" s="6">
        <v>120</v>
      </c>
      <c r="T127" s="6">
        <f t="shared" si="7"/>
        <v>93</v>
      </c>
      <c r="U127" s="6">
        <v>240</v>
      </c>
      <c r="V127" s="6"/>
    </row>
    <row r="128" spans="1:22" hidden="1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4"/>
        <v>85</v>
      </c>
      <c r="M128" s="2">
        <f t="shared" si="5"/>
        <v>117</v>
      </c>
      <c r="N128" s="2" t="str">
        <f t="shared" si="6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hidden="1" x14ac:dyDescent="0.25">
      <c r="A129" s="6">
        <v>128</v>
      </c>
      <c r="B129" s="7" t="s">
        <v>390</v>
      </c>
      <c r="C129" s="6"/>
      <c r="D129" s="6"/>
      <c r="E129" s="6"/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4"/>
        <v>82.5</v>
      </c>
      <c r="M129" s="6">
        <f t="shared" si="5"/>
        <v>127</v>
      </c>
      <c r="N129" s="6" t="str">
        <f t="shared" si="6"/>
        <v>102 – 127</v>
      </c>
      <c r="O129" s="6">
        <v>6</v>
      </c>
      <c r="P129" s="6"/>
      <c r="Q129" s="7" t="s">
        <v>391</v>
      </c>
      <c r="R129" s="6" t="s">
        <v>392</v>
      </c>
      <c r="S129" s="6">
        <v>150</v>
      </c>
      <c r="T129" s="6">
        <f t="shared" si="7"/>
        <v>127</v>
      </c>
      <c r="U129" s="6"/>
      <c r="V129" s="6"/>
    </row>
    <row r="130" spans="1:22" hidden="1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ref="L130:L193" si="8">AVERAGE(J130,K130)</f>
        <v>37.5</v>
      </c>
      <c r="M130" s="2">
        <f t="shared" ref="M130:M193" si="9">ROUND(H130*POWER(L130,1.5)/500+15,0)</f>
        <v>24</v>
      </c>
      <c r="N130" s="2" t="str">
        <f t="shared" ref="N130:N193" si="10">TEXT(ROUND(M130*0.8,0),"0")&amp;" – "&amp;TEXT(M130,"0")</f>
        <v>19 – 24</v>
      </c>
      <c r="O130" s="2">
        <v>2</v>
      </c>
      <c r="P130" s="2"/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hidden="1" x14ac:dyDescent="0.25">
      <c r="A131" s="6">
        <v>130</v>
      </c>
      <c r="B131" s="7" t="s">
        <v>396</v>
      </c>
      <c r="C131" s="6"/>
      <c r="D131" s="6"/>
      <c r="E131" s="6"/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si="8"/>
        <v>89.5</v>
      </c>
      <c r="M131" s="6">
        <f t="shared" si="9"/>
        <v>176</v>
      </c>
      <c r="N131" s="6" t="str">
        <f t="shared" si="10"/>
        <v>141 – 176</v>
      </c>
      <c r="O131" s="6">
        <v>5</v>
      </c>
      <c r="P131" s="6"/>
      <c r="Q131" s="7" t="s">
        <v>397</v>
      </c>
      <c r="R131" s="6" t="s">
        <v>398</v>
      </c>
      <c r="S131" s="6">
        <v>120</v>
      </c>
      <c r="T131" s="6">
        <f t="shared" si="11"/>
        <v>176</v>
      </c>
      <c r="U131" s="6">
        <v>129</v>
      </c>
      <c r="V131" s="6"/>
    </row>
    <row r="132" spans="1:22" hidden="1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8"/>
        <v>87.5</v>
      </c>
      <c r="M132" s="2">
        <f t="shared" si="9"/>
        <v>228</v>
      </c>
      <c r="N132" s="2" t="str">
        <f t="shared" si="10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hidden="1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8"/>
        <v>48</v>
      </c>
      <c r="M133" s="6">
        <f t="shared" si="9"/>
        <v>47</v>
      </c>
      <c r="N133" s="6" t="str">
        <f t="shared" si="10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hidden="1" x14ac:dyDescent="0.25">
      <c r="A134" s="2">
        <v>133</v>
      </c>
      <c r="B134" s="3" t="s">
        <v>405</v>
      </c>
      <c r="C134" s="2">
        <v>24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8"/>
        <v>57.5</v>
      </c>
      <c r="M134" s="2">
        <f t="shared" si="9"/>
        <v>63</v>
      </c>
      <c r="N134" s="2" t="str">
        <f t="shared" si="10"/>
        <v>50 – 63</v>
      </c>
      <c r="O134" s="2">
        <v>2</v>
      </c>
      <c r="P134" s="2"/>
      <c r="Q134" s="3" t="s">
        <v>406</v>
      </c>
      <c r="R134" s="2" t="s">
        <v>407</v>
      </c>
      <c r="S134" s="2">
        <v>120</v>
      </c>
      <c r="T134" s="2">
        <f t="shared" si="11"/>
        <v>39</v>
      </c>
      <c r="U134" s="2"/>
      <c r="V134" s="2"/>
    </row>
    <row r="135" spans="1:22" hidden="1" x14ac:dyDescent="0.25">
      <c r="A135" s="6">
        <v>134</v>
      </c>
      <c r="B135" s="7" t="s">
        <v>408</v>
      </c>
      <c r="C135" s="6"/>
      <c r="D135" s="6"/>
      <c r="E135" s="6"/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8"/>
        <v>77.5</v>
      </c>
      <c r="M135" s="6">
        <f t="shared" si="9"/>
        <v>192</v>
      </c>
      <c r="N135" s="6" t="str">
        <f t="shared" si="10"/>
        <v>154 – 192</v>
      </c>
      <c r="O135" s="6">
        <v>4</v>
      </c>
      <c r="P135" s="6"/>
      <c r="Q135" s="7" t="s">
        <v>409</v>
      </c>
      <c r="R135" s="6" t="s">
        <v>410</v>
      </c>
      <c r="S135" s="6">
        <v>120</v>
      </c>
      <c r="T135" s="6">
        <f t="shared" si="11"/>
        <v>192</v>
      </c>
      <c r="U135" s="6">
        <v>133</v>
      </c>
      <c r="V135" s="6" t="s">
        <v>1118</v>
      </c>
    </row>
    <row r="136" spans="1:22" hidden="1" x14ac:dyDescent="0.25">
      <c r="A136" s="2">
        <v>135</v>
      </c>
      <c r="B136" s="3" t="s">
        <v>411</v>
      </c>
      <c r="C136" s="2"/>
      <c r="D136" s="2"/>
      <c r="E136" s="2"/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8"/>
        <v>77.5</v>
      </c>
      <c r="M136" s="2">
        <f t="shared" si="9"/>
        <v>104</v>
      </c>
      <c r="N136" s="2" t="str">
        <f t="shared" si="10"/>
        <v>83 – 104</v>
      </c>
      <c r="O136" s="2">
        <v>4</v>
      </c>
      <c r="P136" s="2"/>
      <c r="Q136" s="3" t="s">
        <v>412</v>
      </c>
      <c r="R136" s="2" t="s">
        <v>413</v>
      </c>
      <c r="S136" s="2">
        <v>120</v>
      </c>
      <c r="T136" s="2">
        <f t="shared" si="11"/>
        <v>104</v>
      </c>
      <c r="U136" s="2">
        <v>133</v>
      </c>
      <c r="V136" s="2" t="s">
        <v>1113</v>
      </c>
    </row>
    <row r="137" spans="1:22" hidden="1" x14ac:dyDescent="0.25">
      <c r="A137" s="6">
        <v>136</v>
      </c>
      <c r="B137" s="7" t="s">
        <v>414</v>
      </c>
      <c r="C137" s="6"/>
      <c r="D137" s="6"/>
      <c r="E137" s="6"/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8"/>
        <v>85</v>
      </c>
      <c r="M137" s="6">
        <f t="shared" si="9"/>
        <v>117</v>
      </c>
      <c r="N137" s="6" t="str">
        <f t="shared" si="10"/>
        <v>94 – 117</v>
      </c>
      <c r="O137" s="6">
        <v>4</v>
      </c>
      <c r="P137" s="6"/>
      <c r="Q137" s="7" t="s">
        <v>415</v>
      </c>
      <c r="R137" s="6" t="s">
        <v>416</v>
      </c>
      <c r="S137" s="6">
        <v>120</v>
      </c>
      <c r="T137" s="6">
        <f t="shared" si="11"/>
        <v>117</v>
      </c>
      <c r="U137" s="6">
        <v>133</v>
      </c>
      <c r="V137" s="6" t="s">
        <v>1116</v>
      </c>
    </row>
    <row r="138" spans="1:22" x14ac:dyDescent="0.25">
      <c r="A138" s="2">
        <v>137</v>
      </c>
      <c r="B138" s="3" t="s">
        <v>417</v>
      </c>
      <c r="C138" s="2">
        <v>20</v>
      </c>
      <c r="D138" s="2">
        <v>45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8"/>
        <v>72.5</v>
      </c>
      <c r="M138" s="2">
        <f t="shared" si="9"/>
        <v>95</v>
      </c>
      <c r="N138" s="2" t="str">
        <f t="shared" si="10"/>
        <v>76 – 95</v>
      </c>
      <c r="O138" s="2">
        <v>1</v>
      </c>
      <c r="P138" s="2">
        <v>10</v>
      </c>
      <c r="Q138" s="3" t="s">
        <v>418</v>
      </c>
      <c r="R138" s="2" t="s">
        <v>419</v>
      </c>
      <c r="S138" s="2">
        <v>80</v>
      </c>
      <c r="T138" s="2">
        <f t="shared" si="11"/>
        <v>75</v>
      </c>
      <c r="U138" s="2"/>
      <c r="V138" s="2"/>
    </row>
    <row r="139" spans="1:22" hidden="1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8"/>
        <v>77.5</v>
      </c>
      <c r="M139" s="6">
        <f t="shared" si="9"/>
        <v>63</v>
      </c>
      <c r="N139" s="6" t="str">
        <f t="shared" si="10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hidden="1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8"/>
        <v>97.5</v>
      </c>
      <c r="M140" s="2">
        <f t="shared" si="9"/>
        <v>150</v>
      </c>
      <c r="N140" s="2" t="str">
        <f t="shared" si="10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hidden="1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8"/>
        <v>67.5</v>
      </c>
      <c r="M141" s="6">
        <f t="shared" si="9"/>
        <v>48</v>
      </c>
      <c r="N141" s="6" t="str">
        <f t="shared" si="10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hidden="1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8"/>
        <v>87.5</v>
      </c>
      <c r="M142" s="2">
        <f t="shared" si="9"/>
        <v>113</v>
      </c>
      <c r="N142" s="2" t="str">
        <f t="shared" si="10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hidden="1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8"/>
        <v>70</v>
      </c>
      <c r="M143" s="6">
        <f t="shared" si="9"/>
        <v>109</v>
      </c>
      <c r="N143" s="6" t="str">
        <f t="shared" si="10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hidden="1" x14ac:dyDescent="0.25">
      <c r="A144" s="2">
        <v>143</v>
      </c>
      <c r="B144" s="3" t="s">
        <v>433</v>
      </c>
      <c r="C144" s="2"/>
      <c r="D144" s="2"/>
      <c r="E144" s="2"/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8"/>
        <v>87.5</v>
      </c>
      <c r="M144" s="2">
        <f t="shared" si="9"/>
        <v>277</v>
      </c>
      <c r="N144" s="2" t="str">
        <f t="shared" si="10"/>
        <v>222 – 277</v>
      </c>
      <c r="O144" s="2">
        <v>6</v>
      </c>
      <c r="P144" s="2"/>
      <c r="Q144" s="3" t="s">
        <v>434</v>
      </c>
      <c r="R144" s="2" t="s">
        <v>435</v>
      </c>
      <c r="S144" s="2">
        <v>85</v>
      </c>
      <c r="T144" s="2">
        <f t="shared" si="11"/>
        <v>277</v>
      </c>
      <c r="U144" s="2"/>
      <c r="V144" s="2"/>
    </row>
    <row r="145" spans="1:22" hidden="1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8"/>
        <v>112.5</v>
      </c>
      <c r="M145" s="6">
        <f t="shared" si="9"/>
        <v>230</v>
      </c>
      <c r="N145" s="6" t="str">
        <f t="shared" si="10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hidden="1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8"/>
        <v>87.5</v>
      </c>
      <c r="M146" s="2">
        <f t="shared" si="9"/>
        <v>162</v>
      </c>
      <c r="N146" s="2" t="str">
        <f t="shared" si="10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hidden="1" x14ac:dyDescent="0.25">
      <c r="A147" s="6">
        <v>146</v>
      </c>
      <c r="B147" s="7" t="s">
        <v>441</v>
      </c>
      <c r="C147" s="6"/>
      <c r="D147" s="6"/>
      <c r="E147" s="6"/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8"/>
        <v>87.5</v>
      </c>
      <c r="M147" s="6">
        <f t="shared" si="9"/>
        <v>162</v>
      </c>
      <c r="N147" s="6" t="str">
        <f t="shared" si="10"/>
        <v>130 – 162</v>
      </c>
      <c r="O147" s="6">
        <v>6</v>
      </c>
      <c r="P147" s="6"/>
      <c r="Q147" s="7" t="s">
        <v>442</v>
      </c>
      <c r="R147" s="6" t="s">
        <v>443</v>
      </c>
      <c r="S147" s="6">
        <v>140</v>
      </c>
      <c r="T147" s="6">
        <f t="shared" si="11"/>
        <v>162</v>
      </c>
      <c r="U147" s="6"/>
      <c r="V147" s="6"/>
    </row>
    <row r="148" spans="1:22" hidden="1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8"/>
        <v>47.5</v>
      </c>
      <c r="M148" s="2">
        <f t="shared" si="9"/>
        <v>42</v>
      </c>
      <c r="N148" s="2" t="str">
        <f t="shared" si="10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hidden="1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8"/>
        <v>67.5</v>
      </c>
      <c r="M149" s="6">
        <f t="shared" si="9"/>
        <v>83</v>
      </c>
      <c r="N149" s="6" t="str">
        <f t="shared" si="10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hidden="1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8"/>
        <v>97.5</v>
      </c>
      <c r="M150" s="2">
        <f t="shared" si="9"/>
        <v>190</v>
      </c>
      <c r="N150" s="2" t="str">
        <f t="shared" si="10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hidden="1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8"/>
        <v>90</v>
      </c>
      <c r="M151" s="6">
        <f t="shared" si="9"/>
        <v>196</v>
      </c>
      <c r="N151" s="6" t="str">
        <f t="shared" si="10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hidden="1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8"/>
        <v>100</v>
      </c>
      <c r="M152" s="2">
        <f t="shared" si="9"/>
        <v>215</v>
      </c>
      <c r="N152" s="2" t="str">
        <f t="shared" si="10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8"/>
        <v>65</v>
      </c>
      <c r="M153" s="6">
        <f t="shared" si="9"/>
        <v>62</v>
      </c>
      <c r="N153" s="6" t="str">
        <f t="shared" si="10"/>
        <v>50 – 62</v>
      </c>
      <c r="O153" s="6">
        <v>1</v>
      </c>
      <c r="P153" s="6">
        <v>26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hidden="1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8"/>
        <v>80</v>
      </c>
      <c r="M154" s="2">
        <f t="shared" si="9"/>
        <v>101</v>
      </c>
      <c r="N154" s="2" t="str">
        <f t="shared" si="10"/>
        <v>81 – 101</v>
      </c>
      <c r="O154" s="2">
        <v>2</v>
      </c>
      <c r="P154" s="2"/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hidden="1" x14ac:dyDescent="0.25">
      <c r="A155" s="6">
        <v>154</v>
      </c>
      <c r="B155" s="7" t="s">
        <v>464</v>
      </c>
      <c r="C155" s="6"/>
      <c r="D155" s="6"/>
      <c r="E155" s="6"/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8"/>
        <v>100</v>
      </c>
      <c r="M155" s="6">
        <f t="shared" si="9"/>
        <v>175</v>
      </c>
      <c r="N155" s="6" t="str">
        <f t="shared" si="10"/>
        <v>140 – 175</v>
      </c>
      <c r="O155" s="6">
        <v>3</v>
      </c>
      <c r="P155" s="6"/>
      <c r="Q155" s="7" t="s">
        <v>465</v>
      </c>
      <c r="R155" s="6" t="s">
        <v>466</v>
      </c>
      <c r="S155" s="6">
        <v>120</v>
      </c>
      <c r="T155" s="6">
        <f t="shared" si="11"/>
        <v>175</v>
      </c>
      <c r="U155" s="6">
        <v>153</v>
      </c>
      <c r="V155" s="6"/>
    </row>
    <row r="156" spans="1:22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8"/>
        <v>46.5</v>
      </c>
      <c r="M156" s="2">
        <f t="shared" si="9"/>
        <v>40</v>
      </c>
      <c r="N156" s="2" t="str">
        <f t="shared" si="10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hidden="1" x14ac:dyDescent="0.25">
      <c r="A157" s="6">
        <v>156</v>
      </c>
      <c r="B157" s="7" t="s">
        <v>470</v>
      </c>
      <c r="C157" s="6"/>
      <c r="D157" s="6"/>
      <c r="E157" s="6"/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8"/>
        <v>61.5</v>
      </c>
      <c r="M157" s="6">
        <f t="shared" si="9"/>
        <v>71</v>
      </c>
      <c r="N157" s="6" t="str">
        <f t="shared" si="10"/>
        <v>57 – 71</v>
      </c>
      <c r="O157" s="6">
        <v>3</v>
      </c>
      <c r="P157" s="6"/>
      <c r="Q157" s="7" t="s">
        <v>471</v>
      </c>
      <c r="R157" s="6" t="s">
        <v>472</v>
      </c>
      <c r="S157" s="6">
        <v>60</v>
      </c>
      <c r="T157" s="6">
        <f t="shared" si="11"/>
        <v>71</v>
      </c>
      <c r="U157" s="6">
        <v>155</v>
      </c>
      <c r="V157" s="6"/>
    </row>
    <row r="158" spans="1:22" hidden="1" x14ac:dyDescent="0.25">
      <c r="A158" s="2">
        <v>157</v>
      </c>
      <c r="B158" s="3" t="s">
        <v>473</v>
      </c>
      <c r="C158" s="2"/>
      <c r="D158" s="2"/>
      <c r="E158" s="2"/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8"/>
        <v>81.5</v>
      </c>
      <c r="M158" s="2">
        <f t="shared" si="9"/>
        <v>130</v>
      </c>
      <c r="N158" s="2" t="str">
        <f t="shared" si="10"/>
        <v>104 – 130</v>
      </c>
      <c r="O158" s="2">
        <v>5</v>
      </c>
      <c r="P158" s="2"/>
      <c r="Q158" s="3" t="s">
        <v>474</v>
      </c>
      <c r="R158" s="2" t="s">
        <v>475</v>
      </c>
      <c r="S158" s="2">
        <v>150</v>
      </c>
      <c r="T158" s="2">
        <f t="shared" si="11"/>
        <v>130</v>
      </c>
      <c r="U158" s="2">
        <v>156</v>
      </c>
      <c r="V158" s="2"/>
    </row>
    <row r="159" spans="1:22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8"/>
        <v>56</v>
      </c>
      <c r="M159" s="6">
        <f t="shared" si="9"/>
        <v>57</v>
      </c>
      <c r="N159" s="6" t="str">
        <f t="shared" si="10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hidden="1" x14ac:dyDescent="0.25">
      <c r="A160" s="2">
        <v>159</v>
      </c>
      <c r="B160" s="3" t="s">
        <v>478</v>
      </c>
      <c r="C160" s="2"/>
      <c r="D160" s="2"/>
      <c r="E160" s="2"/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8"/>
        <v>71.5</v>
      </c>
      <c r="M160" s="2">
        <f t="shared" si="9"/>
        <v>94</v>
      </c>
      <c r="N160" s="2" t="str">
        <f t="shared" si="10"/>
        <v>75 – 94</v>
      </c>
      <c r="O160" s="2">
        <v>3</v>
      </c>
      <c r="P160" s="2"/>
      <c r="Q160" s="3" t="s">
        <v>479</v>
      </c>
      <c r="R160" s="2" t="s">
        <v>45</v>
      </c>
      <c r="S160" s="2">
        <v>40</v>
      </c>
      <c r="T160" s="2">
        <f t="shared" si="11"/>
        <v>94</v>
      </c>
      <c r="U160" s="2">
        <v>158</v>
      </c>
      <c r="V160" s="2"/>
    </row>
    <row r="161" spans="1:22" hidden="1" x14ac:dyDescent="0.25">
      <c r="A161" s="6">
        <v>160</v>
      </c>
      <c r="B161" s="7" t="s">
        <v>480</v>
      </c>
      <c r="C161" s="6"/>
      <c r="D161" s="6"/>
      <c r="E161" s="6"/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8"/>
        <v>91.5</v>
      </c>
      <c r="M161" s="6">
        <f t="shared" si="9"/>
        <v>164</v>
      </c>
      <c r="N161" s="6" t="str">
        <f t="shared" si="10"/>
        <v>131 – 164</v>
      </c>
      <c r="O161" s="6">
        <v>5</v>
      </c>
      <c r="P161" s="6"/>
      <c r="Q161" s="7" t="s">
        <v>481</v>
      </c>
      <c r="R161" s="6" t="s">
        <v>48</v>
      </c>
      <c r="S161" s="6">
        <v>120</v>
      </c>
      <c r="T161" s="6">
        <f t="shared" si="11"/>
        <v>164</v>
      </c>
      <c r="U161" s="6">
        <v>159</v>
      </c>
      <c r="V161" s="6"/>
    </row>
    <row r="162" spans="1:22" hidden="1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8"/>
        <v>39.5</v>
      </c>
      <c r="M162" s="2">
        <f t="shared" si="9"/>
        <v>32</v>
      </c>
      <c r="N162" s="2" t="str">
        <f t="shared" si="10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hidden="1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8"/>
        <v>59.5</v>
      </c>
      <c r="M163" s="6">
        <f t="shared" si="9"/>
        <v>93</v>
      </c>
      <c r="N163" s="6" t="str">
        <f t="shared" si="10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hidden="1" x14ac:dyDescent="0.25">
      <c r="A164" s="2">
        <v>163</v>
      </c>
      <c r="B164" s="3" t="s">
        <v>488</v>
      </c>
      <c r="C164" s="2"/>
      <c r="D164" s="2"/>
      <c r="E164" s="2"/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8"/>
        <v>43</v>
      </c>
      <c r="M164" s="2">
        <f t="shared" si="9"/>
        <v>49</v>
      </c>
      <c r="N164" s="2" t="str">
        <f t="shared" si="10"/>
        <v>39 – 49</v>
      </c>
      <c r="O164" s="2">
        <v>3</v>
      </c>
      <c r="P164" s="2"/>
      <c r="Q164" s="3" t="s">
        <v>489</v>
      </c>
      <c r="R164" s="2" t="s">
        <v>490</v>
      </c>
      <c r="S164" s="2">
        <v>50</v>
      </c>
      <c r="T164" s="2">
        <f t="shared" si="11"/>
        <v>49</v>
      </c>
      <c r="U164" s="2"/>
      <c r="V164" s="2"/>
    </row>
    <row r="165" spans="1:22" hidden="1" x14ac:dyDescent="0.25">
      <c r="A165" s="6">
        <v>164</v>
      </c>
      <c r="B165" s="7" t="s">
        <v>491</v>
      </c>
      <c r="C165" s="6"/>
      <c r="D165" s="6"/>
      <c r="E165" s="6"/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8"/>
        <v>73</v>
      </c>
      <c r="M165" s="6">
        <f t="shared" si="9"/>
        <v>140</v>
      </c>
      <c r="N165" s="6" t="str">
        <f t="shared" si="10"/>
        <v>112 – 140</v>
      </c>
      <c r="O165" s="6">
        <v>5</v>
      </c>
      <c r="P165" s="6"/>
      <c r="Q165" s="7" t="s">
        <v>492</v>
      </c>
      <c r="R165" s="6" t="s">
        <v>493</v>
      </c>
      <c r="S165" s="6">
        <v>90</v>
      </c>
      <c r="T165" s="6">
        <f t="shared" si="11"/>
        <v>140</v>
      </c>
      <c r="U165" s="6">
        <v>163</v>
      </c>
      <c r="V165" s="6"/>
    </row>
    <row r="166" spans="1:22" hidden="1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8"/>
        <v>55</v>
      </c>
      <c r="M166" s="2">
        <f t="shared" si="9"/>
        <v>48</v>
      </c>
      <c r="N166" s="2" t="str">
        <f t="shared" si="10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hidden="1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8"/>
        <v>80</v>
      </c>
      <c r="M167" s="6">
        <f t="shared" si="9"/>
        <v>94</v>
      </c>
      <c r="N167" s="6" t="str">
        <f t="shared" si="10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hidden="1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8"/>
        <v>40</v>
      </c>
      <c r="M168" s="2">
        <f t="shared" si="9"/>
        <v>35</v>
      </c>
      <c r="N168" s="2" t="str">
        <f t="shared" si="10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hidden="1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8"/>
        <v>70</v>
      </c>
      <c r="M169" s="6">
        <f t="shared" si="9"/>
        <v>97</v>
      </c>
      <c r="N169" s="6" t="str">
        <f t="shared" si="10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hidden="1" x14ac:dyDescent="0.25">
      <c r="A170" s="2">
        <v>169</v>
      </c>
      <c r="B170" s="3" t="s">
        <v>505</v>
      </c>
      <c r="C170" s="2"/>
      <c r="D170" s="2"/>
      <c r="E170" s="2"/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8"/>
        <v>80</v>
      </c>
      <c r="M170" s="2">
        <f t="shared" si="9"/>
        <v>137</v>
      </c>
      <c r="N170" s="2" t="str">
        <f t="shared" si="10"/>
        <v>110 – 137</v>
      </c>
      <c r="O170" s="2">
        <v>4</v>
      </c>
      <c r="P170" s="2"/>
      <c r="Q170" s="3" t="s">
        <v>506</v>
      </c>
      <c r="R170" s="2" t="s">
        <v>143</v>
      </c>
      <c r="S170" s="2">
        <v>75</v>
      </c>
      <c r="T170" s="2">
        <f t="shared" si="11"/>
        <v>137</v>
      </c>
      <c r="U170" s="2">
        <v>42</v>
      </c>
      <c r="V170" s="2"/>
    </row>
    <row r="171" spans="1:22" hidden="1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8"/>
        <v>47</v>
      </c>
      <c r="M171" s="6">
        <f t="shared" si="9"/>
        <v>63</v>
      </c>
      <c r="N171" s="6" t="str">
        <f t="shared" si="10"/>
        <v>50 – 63</v>
      </c>
      <c r="O171" s="6">
        <v>3</v>
      </c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hidden="1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8"/>
        <v>67</v>
      </c>
      <c r="M172" s="2">
        <f t="shared" si="9"/>
        <v>152</v>
      </c>
      <c r="N172" s="2" t="str">
        <f t="shared" si="10"/>
        <v>122 – 152</v>
      </c>
      <c r="O172" s="2">
        <v>5</v>
      </c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hidden="1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8"/>
        <v>25</v>
      </c>
      <c r="M173" s="6">
        <f t="shared" si="9"/>
        <v>20</v>
      </c>
      <c r="N173" s="6" t="str">
        <f t="shared" si="10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hidden="1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8"/>
        <v>41.5</v>
      </c>
      <c r="M174" s="2">
        <f t="shared" si="9"/>
        <v>42</v>
      </c>
      <c r="N174" s="2" t="str">
        <f t="shared" si="10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hidden="1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8"/>
        <v>17.5</v>
      </c>
      <c r="M175" s="6">
        <f t="shared" si="9"/>
        <v>28</v>
      </c>
      <c r="N175" s="6" t="str">
        <f t="shared" si="10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hidden="1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8"/>
        <v>65</v>
      </c>
      <c r="M176" s="2">
        <f t="shared" si="9"/>
        <v>52</v>
      </c>
      <c r="N176" s="2" t="str">
        <f t="shared" si="10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hidden="1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8"/>
        <v>95</v>
      </c>
      <c r="M177" s="6">
        <f t="shared" si="9"/>
        <v>117</v>
      </c>
      <c r="N177" s="6" t="str">
        <f t="shared" si="10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hidden="1" x14ac:dyDescent="0.25">
      <c r="A178" s="2">
        <v>177</v>
      </c>
      <c r="B178" s="3" t="s">
        <v>527</v>
      </c>
      <c r="C178" s="2"/>
      <c r="D178" s="2"/>
      <c r="E178" s="2"/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8"/>
        <v>45</v>
      </c>
      <c r="M178" s="2">
        <f t="shared" si="9"/>
        <v>39</v>
      </c>
      <c r="N178" s="2" t="str">
        <f t="shared" si="10"/>
        <v>31 – 39</v>
      </c>
      <c r="O178" s="2">
        <v>3</v>
      </c>
      <c r="P178" s="2"/>
      <c r="Q178" s="3" t="s">
        <v>528</v>
      </c>
      <c r="R178" s="2" t="s">
        <v>83</v>
      </c>
      <c r="S178" s="2">
        <v>35</v>
      </c>
      <c r="T178" s="2">
        <f t="shared" si="11"/>
        <v>39</v>
      </c>
      <c r="U178" s="2"/>
      <c r="V178" s="2"/>
    </row>
    <row r="179" spans="1:22" hidden="1" x14ac:dyDescent="0.25">
      <c r="A179" s="6">
        <v>178</v>
      </c>
      <c r="B179" s="7" t="s">
        <v>529</v>
      </c>
      <c r="C179" s="6"/>
      <c r="D179" s="6"/>
      <c r="E179" s="6"/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8"/>
        <v>70</v>
      </c>
      <c r="M179" s="6">
        <f t="shared" si="9"/>
        <v>91</v>
      </c>
      <c r="N179" s="6" t="str">
        <f t="shared" si="10"/>
        <v>73 – 91</v>
      </c>
      <c r="O179" s="6">
        <v>4</v>
      </c>
      <c r="P179" s="6"/>
      <c r="Q179" s="7" t="s">
        <v>530</v>
      </c>
      <c r="R179" s="6" t="s">
        <v>531</v>
      </c>
      <c r="S179" s="6">
        <v>90</v>
      </c>
      <c r="T179" s="6">
        <f t="shared" si="11"/>
        <v>91</v>
      </c>
      <c r="U179" s="6">
        <v>177</v>
      </c>
      <c r="V179" s="6"/>
    </row>
    <row r="180" spans="1:22" hidden="1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8"/>
        <v>42.5</v>
      </c>
      <c r="M180" s="2">
        <f t="shared" si="9"/>
        <v>45</v>
      </c>
      <c r="N180" s="2" t="str">
        <f t="shared" si="10"/>
        <v>36 – 45</v>
      </c>
      <c r="O180" s="2">
        <v>2</v>
      </c>
      <c r="P180" s="2"/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hidden="1" x14ac:dyDescent="0.25">
      <c r="A181" s="6">
        <v>180</v>
      </c>
      <c r="B181" s="7" t="s">
        <v>535</v>
      </c>
      <c r="C181" s="6"/>
      <c r="D181" s="6"/>
      <c r="E181" s="6"/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8"/>
        <v>57.5</v>
      </c>
      <c r="M181" s="6">
        <f t="shared" si="9"/>
        <v>76</v>
      </c>
      <c r="N181" s="6" t="str">
        <f t="shared" si="10"/>
        <v>61 – 76</v>
      </c>
      <c r="O181" s="6">
        <v>4</v>
      </c>
      <c r="P181" s="6"/>
      <c r="Q181" s="7" t="s">
        <v>536</v>
      </c>
      <c r="R181" s="6" t="s">
        <v>534</v>
      </c>
      <c r="S181" s="6">
        <v>40</v>
      </c>
      <c r="T181" s="6">
        <f t="shared" si="11"/>
        <v>76</v>
      </c>
      <c r="U181" s="6">
        <v>179</v>
      </c>
      <c r="V181" s="6"/>
    </row>
    <row r="182" spans="1:22" hidden="1" x14ac:dyDescent="0.25">
      <c r="A182" s="2">
        <v>181</v>
      </c>
      <c r="B182" s="3" t="s">
        <v>537</v>
      </c>
      <c r="C182" s="2"/>
      <c r="D182" s="2"/>
      <c r="E182" s="2"/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8"/>
        <v>87.5</v>
      </c>
      <c r="M182" s="2">
        <f t="shared" si="9"/>
        <v>162</v>
      </c>
      <c r="N182" s="2" t="str">
        <f t="shared" si="10"/>
        <v>130 – 162</v>
      </c>
      <c r="O182" s="2">
        <v>6</v>
      </c>
      <c r="P182" s="2"/>
      <c r="Q182" s="3" t="s">
        <v>538</v>
      </c>
      <c r="R182" s="2" t="s">
        <v>539</v>
      </c>
      <c r="S182" s="2">
        <v>120</v>
      </c>
      <c r="T182" s="2">
        <f t="shared" si="11"/>
        <v>162</v>
      </c>
      <c r="U182" s="2">
        <v>180</v>
      </c>
      <c r="V182" s="2"/>
    </row>
    <row r="183" spans="1:22" hidden="1" x14ac:dyDescent="0.25">
      <c r="A183" s="6">
        <v>182</v>
      </c>
      <c r="B183" s="7" t="s">
        <v>540</v>
      </c>
      <c r="C183" s="6">
        <v>29</v>
      </c>
      <c r="D183" s="6">
        <v>50</v>
      </c>
      <c r="E183" s="6">
        <v>44</v>
      </c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8"/>
        <v>97.5</v>
      </c>
      <c r="M183" s="6">
        <f t="shared" si="9"/>
        <v>159</v>
      </c>
      <c r="N183" s="6" t="str">
        <f t="shared" si="10"/>
        <v>127 – 159</v>
      </c>
      <c r="O183" s="6">
        <v>2</v>
      </c>
      <c r="P183" s="6"/>
      <c r="Q183" s="7" t="s">
        <v>541</v>
      </c>
      <c r="R183" s="6" t="s">
        <v>542</v>
      </c>
      <c r="S183" s="6">
        <v>90</v>
      </c>
      <c r="T183" s="6">
        <f t="shared" si="11"/>
        <v>130</v>
      </c>
      <c r="U183" s="6">
        <v>44</v>
      </c>
      <c r="V183" s="6" t="s">
        <v>1121</v>
      </c>
    </row>
    <row r="184" spans="1:22" hidden="1" x14ac:dyDescent="0.25">
      <c r="A184" s="2">
        <v>183</v>
      </c>
      <c r="B184" s="3" t="s">
        <v>543</v>
      </c>
      <c r="C184" s="2"/>
      <c r="D184" s="2"/>
      <c r="E184" s="2"/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8"/>
        <v>50</v>
      </c>
      <c r="M184" s="2">
        <f t="shared" si="9"/>
        <v>64</v>
      </c>
      <c r="N184" s="2" t="str">
        <f t="shared" si="10"/>
        <v>51 – 64</v>
      </c>
      <c r="O184" s="2">
        <v>3</v>
      </c>
      <c r="P184" s="2"/>
      <c r="Q184" s="3" t="s">
        <v>544</v>
      </c>
      <c r="R184" s="2" t="s">
        <v>545</v>
      </c>
      <c r="S184" s="2">
        <v>20</v>
      </c>
      <c r="T184" s="2">
        <f t="shared" si="11"/>
        <v>64</v>
      </c>
      <c r="U184" s="2">
        <v>298</v>
      </c>
      <c r="V184" s="2"/>
    </row>
    <row r="185" spans="1:22" hidden="1" x14ac:dyDescent="0.25">
      <c r="A185" s="6">
        <v>184</v>
      </c>
      <c r="B185" s="7" t="s">
        <v>546</v>
      </c>
      <c r="C185" s="6"/>
      <c r="D185" s="6"/>
      <c r="E185" s="6"/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8"/>
        <v>80</v>
      </c>
      <c r="M185" s="6">
        <f t="shared" si="9"/>
        <v>158</v>
      </c>
      <c r="N185" s="6" t="str">
        <f t="shared" si="10"/>
        <v>126 – 158</v>
      </c>
      <c r="O185" s="6">
        <v>6</v>
      </c>
      <c r="P185" s="6"/>
      <c r="Q185" s="7" t="s">
        <v>547</v>
      </c>
      <c r="R185" s="6" t="s">
        <v>548</v>
      </c>
      <c r="S185" s="6">
        <v>120</v>
      </c>
      <c r="T185" s="6">
        <f t="shared" si="11"/>
        <v>158</v>
      </c>
      <c r="U185" s="6">
        <v>183</v>
      </c>
      <c r="V185" s="6"/>
    </row>
    <row r="186" spans="1:22" hidden="1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8"/>
        <v>90</v>
      </c>
      <c r="M186" s="2">
        <f t="shared" si="9"/>
        <v>135</v>
      </c>
      <c r="N186" s="2" t="str">
        <f t="shared" si="10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hidden="1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8"/>
        <v>87.5</v>
      </c>
      <c r="M187" s="6">
        <f t="shared" si="9"/>
        <v>162</v>
      </c>
      <c r="N187" s="6" t="str">
        <f t="shared" si="10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 t="s">
        <v>1122</v>
      </c>
    </row>
    <row r="188" spans="1:22" hidden="1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8"/>
        <v>47.5</v>
      </c>
      <c r="M188" s="2">
        <f t="shared" si="9"/>
        <v>38</v>
      </c>
      <c r="N188" s="2" t="str">
        <f t="shared" si="10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hidden="1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8"/>
        <v>57.5</v>
      </c>
      <c r="M189" s="6">
        <f t="shared" si="9"/>
        <v>63</v>
      </c>
      <c r="N189" s="6" t="str">
        <f t="shared" si="10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hidden="1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8"/>
        <v>82.5</v>
      </c>
      <c r="M190" s="2">
        <f t="shared" si="9"/>
        <v>127</v>
      </c>
      <c r="N190" s="2" t="str">
        <f t="shared" si="10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hidden="1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8"/>
        <v>55</v>
      </c>
      <c r="M191" s="6">
        <f t="shared" si="9"/>
        <v>60</v>
      </c>
      <c r="N191" s="6" t="str">
        <f t="shared" si="10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hidden="1" x14ac:dyDescent="0.25">
      <c r="A192" s="2">
        <v>191</v>
      </c>
      <c r="B192" s="3" t="s">
        <v>566</v>
      </c>
      <c r="C192" s="2">
        <v>28</v>
      </c>
      <c r="D192" s="2">
        <v>50</v>
      </c>
      <c r="E192" s="2">
        <v>24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8"/>
        <v>30</v>
      </c>
      <c r="M192" s="2">
        <f t="shared" si="9"/>
        <v>25</v>
      </c>
      <c r="N192" s="2" t="str">
        <f t="shared" si="10"/>
        <v>20 – 25</v>
      </c>
      <c r="O192" s="2">
        <v>2</v>
      </c>
      <c r="P192" s="2"/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hidden="1" x14ac:dyDescent="0.25">
      <c r="A193" s="6">
        <v>192</v>
      </c>
      <c r="B193" s="7" t="s">
        <v>569</v>
      </c>
      <c r="C193" s="6"/>
      <c r="D193" s="6"/>
      <c r="E193" s="6"/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8"/>
        <v>70</v>
      </c>
      <c r="M193" s="6">
        <f t="shared" si="9"/>
        <v>103</v>
      </c>
      <c r="N193" s="6" t="str">
        <f t="shared" si="10"/>
        <v>82 – 103</v>
      </c>
      <c r="O193" s="6">
        <v>3</v>
      </c>
      <c r="P193" s="6"/>
      <c r="Q193" s="7" t="s">
        <v>570</v>
      </c>
      <c r="R193" s="6" t="s">
        <v>568</v>
      </c>
      <c r="S193" s="6">
        <v>120</v>
      </c>
      <c r="T193" s="6">
        <f t="shared" si="11"/>
        <v>103</v>
      </c>
      <c r="U193" s="6">
        <v>191</v>
      </c>
      <c r="V193" s="6" t="s">
        <v>1121</v>
      </c>
    </row>
    <row r="194" spans="1:22" hidden="1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ref="L194:L257" si="12">AVERAGE(J194,K194)</f>
        <v>45</v>
      </c>
      <c r="M194" s="2">
        <f t="shared" ref="M194:M257" si="13">ROUND(H194*POWER(L194,1.5)/500+15,0)</f>
        <v>54</v>
      </c>
      <c r="N194" s="2" t="str">
        <f t="shared" ref="N194:N257" si="14">TEXT(ROUND(M194*0.8,0),"0")&amp;" – "&amp;TEXT(M194,"0")</f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hidden="1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si="12"/>
        <v>35</v>
      </c>
      <c r="M195" s="6">
        <f t="shared" si="13"/>
        <v>38</v>
      </c>
      <c r="N195" s="6" t="str">
        <f t="shared" si="14"/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hidden="1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2"/>
        <v>75</v>
      </c>
      <c r="M196" s="2">
        <f t="shared" si="13"/>
        <v>138</v>
      </c>
      <c r="N196" s="2" t="str">
        <f t="shared" si="14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hidden="1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2"/>
        <v>77.5</v>
      </c>
      <c r="M197" s="6">
        <f t="shared" si="13"/>
        <v>104</v>
      </c>
      <c r="N197" s="6" t="str">
        <f t="shared" si="14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hidden="1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2"/>
        <v>120</v>
      </c>
      <c r="M198" s="2">
        <f t="shared" si="13"/>
        <v>265</v>
      </c>
      <c r="N198" s="2" t="str">
        <f t="shared" si="14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hidden="1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2"/>
        <v>42</v>
      </c>
      <c r="M199" s="6">
        <f t="shared" si="13"/>
        <v>48</v>
      </c>
      <c r="N199" s="6" t="str">
        <f t="shared" si="14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hidden="1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2"/>
        <v>95</v>
      </c>
      <c r="M200" s="2">
        <f t="shared" si="13"/>
        <v>191</v>
      </c>
      <c r="N200" s="2" t="str">
        <f t="shared" si="14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 t="s">
        <v>1122</v>
      </c>
    </row>
    <row r="201" spans="1:22" hidden="1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2"/>
        <v>72.5</v>
      </c>
      <c r="M201" s="6">
        <f t="shared" si="13"/>
        <v>89</v>
      </c>
      <c r="N201" s="6" t="str">
        <f t="shared" si="14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hidden="1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2"/>
        <v>48</v>
      </c>
      <c r="M202" s="2">
        <f t="shared" si="13"/>
        <v>47</v>
      </c>
      <c r="N202" s="2" t="str">
        <f t="shared" si="14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hidden="1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2"/>
        <v>58</v>
      </c>
      <c r="M203" s="6">
        <f t="shared" si="13"/>
        <v>183</v>
      </c>
      <c r="N203" s="6" t="str">
        <f t="shared" si="14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hidden="1" x14ac:dyDescent="0.25">
      <c r="A204" s="2">
        <v>203</v>
      </c>
      <c r="B204" s="3" t="s">
        <v>599</v>
      </c>
      <c r="C204" s="2"/>
      <c r="D204" s="2"/>
      <c r="E204" s="2"/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2"/>
        <v>65</v>
      </c>
      <c r="M204" s="2">
        <f t="shared" si="13"/>
        <v>88</v>
      </c>
      <c r="N204" s="2" t="str">
        <f t="shared" si="14"/>
        <v>70 – 88</v>
      </c>
      <c r="O204" s="2">
        <v>4</v>
      </c>
      <c r="P204" s="2"/>
      <c r="Q204" s="3" t="s">
        <v>600</v>
      </c>
      <c r="R204" s="2" t="s">
        <v>601</v>
      </c>
      <c r="S204" s="2">
        <v>120</v>
      </c>
      <c r="T204" s="2">
        <f t="shared" si="15"/>
        <v>88</v>
      </c>
      <c r="U204" s="2"/>
      <c r="V204" s="2"/>
    </row>
    <row r="205" spans="1:22" hidden="1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2"/>
        <v>62.5</v>
      </c>
      <c r="M205" s="6">
        <f t="shared" si="13"/>
        <v>64</v>
      </c>
      <c r="N205" s="6" t="str">
        <f t="shared" si="14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hidden="1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2"/>
        <v>100</v>
      </c>
      <c r="M206" s="2">
        <f t="shared" si="13"/>
        <v>165</v>
      </c>
      <c r="N206" s="2" t="str">
        <f t="shared" si="14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hidden="1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2"/>
        <v>67.5</v>
      </c>
      <c r="M207" s="6">
        <f t="shared" si="13"/>
        <v>126</v>
      </c>
      <c r="N207" s="6" t="str">
        <f t="shared" si="14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hidden="1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2"/>
        <v>85</v>
      </c>
      <c r="M208" s="2">
        <f t="shared" si="13"/>
        <v>117</v>
      </c>
      <c r="N208" s="2" t="str">
        <f t="shared" si="14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hidden="1" x14ac:dyDescent="0.25">
      <c r="A209" s="6">
        <v>208</v>
      </c>
      <c r="B209" s="7" t="s">
        <v>613</v>
      </c>
      <c r="C209" s="6"/>
      <c r="D209" s="6"/>
      <c r="E209" s="6"/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2"/>
        <v>132.5</v>
      </c>
      <c r="M209" s="6">
        <f t="shared" si="13"/>
        <v>244</v>
      </c>
      <c r="N209" s="6" t="str">
        <f t="shared" si="14"/>
        <v>195 – 244</v>
      </c>
      <c r="O209" s="6">
        <v>5</v>
      </c>
      <c r="P209" s="6"/>
      <c r="Q209" s="7" t="s">
        <v>614</v>
      </c>
      <c r="R209" s="6" t="s">
        <v>615</v>
      </c>
      <c r="S209" s="6">
        <v>100</v>
      </c>
      <c r="T209" s="6">
        <f t="shared" si="15"/>
        <v>244</v>
      </c>
      <c r="U209" s="6">
        <v>95</v>
      </c>
      <c r="V209" s="6" t="s">
        <v>1123</v>
      </c>
    </row>
    <row r="210" spans="1:22" hidden="1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2"/>
        <v>45</v>
      </c>
      <c r="M210" s="2">
        <f t="shared" si="13"/>
        <v>51</v>
      </c>
      <c r="N210" s="2" t="str">
        <f t="shared" si="14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hidden="1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2"/>
        <v>67.5</v>
      </c>
      <c r="M211" s="6">
        <f t="shared" si="13"/>
        <v>115</v>
      </c>
      <c r="N211" s="6" t="str">
        <f t="shared" si="14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hidden="1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2"/>
        <v>70</v>
      </c>
      <c r="M212" s="2">
        <f t="shared" si="13"/>
        <v>91</v>
      </c>
      <c r="N212" s="2" t="str">
        <f t="shared" si="14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hidden="1" x14ac:dyDescent="0.25">
      <c r="A213" s="6">
        <v>212</v>
      </c>
      <c r="B213" s="7" t="s">
        <v>625</v>
      </c>
      <c r="C213" s="6"/>
      <c r="D213" s="6"/>
      <c r="E213" s="6"/>
      <c r="F213" s="11" t="s">
        <v>50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2"/>
        <v>90</v>
      </c>
      <c r="M213" s="6">
        <f t="shared" si="13"/>
        <v>135</v>
      </c>
      <c r="N213" s="6" t="str">
        <f t="shared" si="14"/>
        <v>108 – 135</v>
      </c>
      <c r="O213" s="6"/>
      <c r="P213" s="6"/>
      <c r="Q213" s="7" t="s">
        <v>626</v>
      </c>
      <c r="R213" s="6" t="s">
        <v>627</v>
      </c>
      <c r="S213" s="6">
        <v>80</v>
      </c>
      <c r="T213" s="6">
        <f t="shared" si="15"/>
        <v>135</v>
      </c>
      <c r="U213" s="6">
        <v>123</v>
      </c>
      <c r="V213" s="6" t="s">
        <v>1123</v>
      </c>
    </row>
    <row r="214" spans="1:22" hidden="1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2"/>
        <v>230</v>
      </c>
      <c r="M214" s="2">
        <f t="shared" si="13"/>
        <v>155</v>
      </c>
      <c r="N214" s="2" t="str">
        <f t="shared" si="14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hidden="1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2"/>
        <v>85</v>
      </c>
      <c r="M215" s="6">
        <f t="shared" si="13"/>
        <v>140</v>
      </c>
      <c r="N215" s="6" t="str">
        <f t="shared" si="14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hidden="1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2"/>
        <v>65</v>
      </c>
      <c r="M216" s="2">
        <f t="shared" si="13"/>
        <v>73</v>
      </c>
      <c r="N216" s="2" t="str">
        <f t="shared" si="14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hidden="1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2"/>
        <v>50</v>
      </c>
      <c r="M217" s="6">
        <f t="shared" si="13"/>
        <v>57</v>
      </c>
      <c r="N217" s="6" t="str">
        <f t="shared" si="14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hidden="1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2"/>
        <v>75</v>
      </c>
      <c r="M218" s="2">
        <f t="shared" si="13"/>
        <v>132</v>
      </c>
      <c r="N218" s="2" t="str">
        <f t="shared" si="14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hidden="1" x14ac:dyDescent="0.25">
      <c r="A219" s="6">
        <v>218</v>
      </c>
      <c r="B219" s="7" t="s">
        <v>642</v>
      </c>
      <c r="C219" s="6"/>
      <c r="D219" s="6"/>
      <c r="E219" s="6"/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2"/>
        <v>40</v>
      </c>
      <c r="M219" s="6">
        <f t="shared" si="13"/>
        <v>35</v>
      </c>
      <c r="N219" s="6" t="str">
        <f t="shared" si="14"/>
        <v>28 – 35</v>
      </c>
      <c r="O219" s="6">
        <v>3</v>
      </c>
      <c r="P219" s="6"/>
      <c r="Q219" s="7" t="s">
        <v>643</v>
      </c>
      <c r="R219" s="6" t="s">
        <v>644</v>
      </c>
      <c r="S219" s="6">
        <v>95</v>
      </c>
      <c r="T219" s="6">
        <f t="shared" si="15"/>
        <v>35</v>
      </c>
      <c r="U219" s="6"/>
      <c r="V219" s="6"/>
    </row>
    <row r="220" spans="1:22" hidden="1" x14ac:dyDescent="0.25">
      <c r="A220" s="2">
        <v>219</v>
      </c>
      <c r="B220" s="3" t="s">
        <v>645</v>
      </c>
      <c r="C220" s="2"/>
      <c r="D220" s="2"/>
      <c r="E220" s="2"/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2"/>
        <v>100</v>
      </c>
      <c r="M220" s="2">
        <f t="shared" si="13"/>
        <v>135</v>
      </c>
      <c r="N220" s="2" t="str">
        <f t="shared" si="14"/>
        <v>108 – 135</v>
      </c>
      <c r="O220" s="2">
        <v>5</v>
      </c>
      <c r="P220" s="2"/>
      <c r="Q220" s="3" t="s">
        <v>646</v>
      </c>
      <c r="R220" s="2" t="s">
        <v>644</v>
      </c>
      <c r="S220" s="2">
        <v>95</v>
      </c>
      <c r="T220" s="2">
        <f t="shared" si="15"/>
        <v>135</v>
      </c>
      <c r="U220" s="2">
        <v>218</v>
      </c>
      <c r="V220" s="2"/>
    </row>
    <row r="221" spans="1:22" hidden="1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2"/>
        <v>35</v>
      </c>
      <c r="M221" s="6">
        <f t="shared" si="13"/>
        <v>36</v>
      </c>
      <c r="N221" s="6" t="str">
        <f t="shared" si="14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hidden="1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2"/>
        <v>70</v>
      </c>
      <c r="M222" s="2">
        <f t="shared" si="13"/>
        <v>132</v>
      </c>
      <c r="N222" s="2" t="str">
        <f t="shared" si="14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hidden="1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2"/>
        <v>95</v>
      </c>
      <c r="M223" s="6">
        <f t="shared" si="13"/>
        <v>135</v>
      </c>
      <c r="N223" s="6" t="str">
        <f t="shared" si="14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hidden="1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2"/>
        <v>35</v>
      </c>
      <c r="M224" s="2">
        <f t="shared" si="13"/>
        <v>29</v>
      </c>
      <c r="N224" s="2" t="str">
        <f t="shared" si="14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hidden="1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2"/>
        <v>75</v>
      </c>
      <c r="M225" s="6">
        <f t="shared" si="13"/>
        <v>112</v>
      </c>
      <c r="N225" s="6" t="str">
        <f t="shared" si="14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hidden="1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2"/>
        <v>45</v>
      </c>
      <c r="M226" s="2">
        <f t="shared" si="13"/>
        <v>42</v>
      </c>
      <c r="N226" s="2" t="str">
        <f t="shared" si="14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hidden="1" x14ac:dyDescent="0.25">
      <c r="A227" s="6">
        <v>226</v>
      </c>
      <c r="B227" s="7" t="s">
        <v>665</v>
      </c>
      <c r="C227" s="6"/>
      <c r="D227" s="6"/>
      <c r="E227" s="6"/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2"/>
        <v>105</v>
      </c>
      <c r="M227" s="6">
        <f t="shared" si="13"/>
        <v>198</v>
      </c>
      <c r="N227" s="6" t="str">
        <f t="shared" si="14"/>
        <v>158 – 198</v>
      </c>
      <c r="O227" s="6">
        <v>3</v>
      </c>
      <c r="P227" s="6"/>
      <c r="Q227" s="7" t="s">
        <v>666</v>
      </c>
      <c r="R227" s="6" t="s">
        <v>667</v>
      </c>
      <c r="S227" s="6">
        <v>85</v>
      </c>
      <c r="T227" s="6">
        <f t="shared" si="15"/>
        <v>198</v>
      </c>
      <c r="U227" s="6"/>
      <c r="V227" s="6"/>
    </row>
    <row r="228" spans="1:22" hidden="1" x14ac:dyDescent="0.25">
      <c r="A228" s="2">
        <v>227</v>
      </c>
      <c r="B228" s="3" t="s">
        <v>668</v>
      </c>
      <c r="C228" s="2"/>
      <c r="D228" s="2"/>
      <c r="E228" s="2"/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2"/>
        <v>105</v>
      </c>
      <c r="M228" s="2">
        <f t="shared" si="13"/>
        <v>155</v>
      </c>
      <c r="N228" s="2" t="str">
        <f t="shared" si="14"/>
        <v>124 – 155</v>
      </c>
      <c r="O228" s="2">
        <v>5</v>
      </c>
      <c r="P228" s="2"/>
      <c r="Q228" s="3" t="s">
        <v>669</v>
      </c>
      <c r="R228" s="2" t="s">
        <v>143</v>
      </c>
      <c r="S228" s="2">
        <v>75</v>
      </c>
      <c r="T228" s="2">
        <f t="shared" si="15"/>
        <v>155</v>
      </c>
      <c r="U228" s="2"/>
      <c r="V228" s="2"/>
    </row>
    <row r="229" spans="1:22" hidden="1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2"/>
        <v>40</v>
      </c>
      <c r="M229" s="6">
        <f t="shared" si="13"/>
        <v>38</v>
      </c>
      <c r="N229" s="6" t="str">
        <f t="shared" si="14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hidden="1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2"/>
        <v>65</v>
      </c>
      <c r="M230" s="2">
        <f t="shared" si="13"/>
        <v>94</v>
      </c>
      <c r="N230" s="2" t="str">
        <f t="shared" si="14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hidden="1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2"/>
        <v>95</v>
      </c>
      <c r="M231" s="6">
        <f t="shared" si="13"/>
        <v>154</v>
      </c>
      <c r="N231" s="6" t="str">
        <f t="shared" si="14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 t="s">
        <v>1124</v>
      </c>
    </row>
    <row r="232" spans="1:22" hidden="1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2"/>
        <v>50</v>
      </c>
      <c r="M232" s="2">
        <f t="shared" si="13"/>
        <v>79</v>
      </c>
      <c r="N232" s="2" t="str">
        <f t="shared" si="14"/>
        <v>63 – 79</v>
      </c>
      <c r="O232" s="2">
        <v>2</v>
      </c>
      <c r="P232" s="2"/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hidden="1" x14ac:dyDescent="0.25">
      <c r="A233" s="6">
        <v>232</v>
      </c>
      <c r="B233" s="7" t="s">
        <v>680</v>
      </c>
      <c r="C233" s="6"/>
      <c r="D233" s="6"/>
      <c r="E233" s="6"/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2"/>
        <v>90</v>
      </c>
      <c r="M233" s="6">
        <f t="shared" si="13"/>
        <v>169</v>
      </c>
      <c r="N233" s="6" t="str">
        <f t="shared" si="14"/>
        <v>135 – 169</v>
      </c>
      <c r="O233" s="6">
        <v>4</v>
      </c>
      <c r="P233" s="6"/>
      <c r="Q233" s="7" t="s">
        <v>681</v>
      </c>
      <c r="R233" s="6" t="s">
        <v>682</v>
      </c>
      <c r="S233" s="6">
        <v>100</v>
      </c>
      <c r="T233" s="6">
        <f t="shared" si="15"/>
        <v>169</v>
      </c>
      <c r="U233" s="6">
        <v>231</v>
      </c>
      <c r="V233" s="6"/>
    </row>
    <row r="234" spans="1:22" hidden="1" x14ac:dyDescent="0.25">
      <c r="A234" s="2">
        <v>233</v>
      </c>
      <c r="B234" s="3" t="s">
        <v>683</v>
      </c>
      <c r="C234" s="2"/>
      <c r="D234" s="2"/>
      <c r="E234" s="2"/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2"/>
        <v>92.5</v>
      </c>
      <c r="M234" s="2">
        <f t="shared" si="13"/>
        <v>166</v>
      </c>
      <c r="N234" s="2" t="str">
        <f t="shared" si="14"/>
        <v>133 – 166</v>
      </c>
      <c r="O234" s="2">
        <v>3</v>
      </c>
      <c r="P234" s="2"/>
      <c r="Q234" s="3" t="s">
        <v>684</v>
      </c>
      <c r="R234" s="2" t="s">
        <v>685</v>
      </c>
      <c r="S234" s="2">
        <v>80</v>
      </c>
      <c r="T234" s="2">
        <f t="shared" si="15"/>
        <v>166</v>
      </c>
      <c r="U234" s="2">
        <v>137</v>
      </c>
      <c r="V234" s="2" t="s">
        <v>1125</v>
      </c>
    </row>
    <row r="235" spans="1:22" hidden="1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2"/>
        <v>63.5</v>
      </c>
      <c r="M235" s="6">
        <f t="shared" si="13"/>
        <v>89</v>
      </c>
      <c r="N235" s="6" t="str">
        <f t="shared" si="14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hidden="1" x14ac:dyDescent="0.25">
      <c r="A236" s="2">
        <v>235</v>
      </c>
      <c r="B236" s="3" t="s">
        <v>689</v>
      </c>
      <c r="C236" s="2"/>
      <c r="D236" s="2"/>
      <c r="E236" s="2"/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2"/>
        <v>40</v>
      </c>
      <c r="M236" s="2">
        <f t="shared" si="13"/>
        <v>43</v>
      </c>
      <c r="N236" s="2" t="str">
        <f t="shared" si="14"/>
        <v>34 – 43</v>
      </c>
      <c r="O236" s="2">
        <v>3</v>
      </c>
      <c r="P236" s="2"/>
      <c r="Q236" s="3" t="s">
        <v>690</v>
      </c>
      <c r="R236" s="2" t="s">
        <v>404</v>
      </c>
      <c r="S236" s="2"/>
      <c r="T236" s="2">
        <f t="shared" si="15"/>
        <v>43</v>
      </c>
      <c r="U236" s="2"/>
      <c r="V236" s="2"/>
    </row>
    <row r="237" spans="1:22" hidden="1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2"/>
        <v>35</v>
      </c>
      <c r="M237" s="6">
        <f t="shared" si="13"/>
        <v>29</v>
      </c>
      <c r="N237" s="6" t="str">
        <f t="shared" si="14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hidden="1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2"/>
        <v>102.5</v>
      </c>
      <c r="M238" s="2">
        <f t="shared" si="13"/>
        <v>119</v>
      </c>
      <c r="N238" s="2" t="str">
        <f t="shared" si="14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hidden="1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2"/>
        <v>40</v>
      </c>
      <c r="M239" s="6">
        <f t="shared" si="13"/>
        <v>38</v>
      </c>
      <c r="N239" s="6" t="str">
        <f t="shared" si="14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hidden="1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2"/>
        <v>46</v>
      </c>
      <c r="M240" s="2">
        <f t="shared" si="13"/>
        <v>43</v>
      </c>
      <c r="N240" s="2" t="str">
        <f t="shared" si="14"/>
        <v>34 – 43</v>
      </c>
      <c r="O240" s="2">
        <v>2</v>
      </c>
      <c r="P240" s="2"/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hidden="1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2"/>
        <v>46</v>
      </c>
      <c r="M241" s="6">
        <f t="shared" si="13"/>
        <v>43</v>
      </c>
      <c r="N241" s="6" t="str">
        <f t="shared" si="14"/>
        <v>34 – 43</v>
      </c>
      <c r="O241" s="6">
        <v>2</v>
      </c>
      <c r="P241" s="6"/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hidden="1" x14ac:dyDescent="0.25">
      <c r="A242" s="2">
        <v>241</v>
      </c>
      <c r="B242" s="3" t="s">
        <v>704</v>
      </c>
      <c r="C242" s="2"/>
      <c r="D242" s="2"/>
      <c r="E242" s="2"/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2"/>
        <v>87.5</v>
      </c>
      <c r="M242" s="2">
        <f t="shared" si="13"/>
        <v>171</v>
      </c>
      <c r="N242" s="2" t="str">
        <f t="shared" si="14"/>
        <v>137 – 171</v>
      </c>
      <c r="O242" s="2">
        <v>4</v>
      </c>
      <c r="P242" s="2"/>
      <c r="Q242" s="3" t="s">
        <v>705</v>
      </c>
      <c r="R242" s="2" t="s">
        <v>706</v>
      </c>
      <c r="S242" s="2">
        <v>85</v>
      </c>
      <c r="T242" s="2">
        <f t="shared" si="15"/>
        <v>171</v>
      </c>
      <c r="U242" s="2"/>
      <c r="V242" s="2"/>
    </row>
    <row r="243" spans="1:22" hidden="1" x14ac:dyDescent="0.25">
      <c r="A243" s="6">
        <v>242</v>
      </c>
      <c r="B243" s="7" t="s">
        <v>707</v>
      </c>
      <c r="C243" s="6"/>
      <c r="D243" s="6"/>
      <c r="E243" s="6"/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2"/>
        <v>72.5</v>
      </c>
      <c r="M243" s="6">
        <f t="shared" si="13"/>
        <v>330</v>
      </c>
      <c r="N243" s="6" t="str">
        <f t="shared" si="14"/>
        <v>264 – 330</v>
      </c>
      <c r="O243" s="6">
        <v>5</v>
      </c>
      <c r="P243" s="6"/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hidden="1" x14ac:dyDescent="0.25">
      <c r="A244" s="2">
        <v>243</v>
      </c>
      <c r="B244" s="3" t="s">
        <v>709</v>
      </c>
      <c r="C244" s="2"/>
      <c r="D244" s="2"/>
      <c r="E244" s="2"/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2"/>
        <v>87.5</v>
      </c>
      <c r="M244" s="2">
        <f t="shared" si="13"/>
        <v>162</v>
      </c>
      <c r="N244" s="2" t="str">
        <f t="shared" si="14"/>
        <v>130 – 162</v>
      </c>
      <c r="O244" s="2">
        <v>6</v>
      </c>
      <c r="P244" s="2"/>
      <c r="Q244" s="3" t="s">
        <v>710</v>
      </c>
      <c r="R244" s="2" t="s">
        <v>383</v>
      </c>
      <c r="S244" s="2">
        <v>120</v>
      </c>
      <c r="T244" s="2">
        <f t="shared" si="15"/>
        <v>162</v>
      </c>
      <c r="U244" s="2"/>
      <c r="V244" s="2"/>
    </row>
    <row r="245" spans="1:22" hidden="1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2"/>
        <v>80</v>
      </c>
      <c r="M245" s="6">
        <f t="shared" si="13"/>
        <v>180</v>
      </c>
      <c r="N245" s="6" t="str">
        <f t="shared" si="14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hidden="1" x14ac:dyDescent="0.25">
      <c r="A246" s="2">
        <v>245</v>
      </c>
      <c r="B246" s="3" t="s">
        <v>713</v>
      </c>
      <c r="C246" s="2"/>
      <c r="D246" s="2"/>
      <c r="E246" s="2"/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2"/>
        <v>115</v>
      </c>
      <c r="M246" s="2">
        <f t="shared" si="13"/>
        <v>262</v>
      </c>
      <c r="N246" s="2" t="str">
        <f t="shared" si="14"/>
        <v>210 – 262</v>
      </c>
      <c r="O246" s="2">
        <v>6</v>
      </c>
      <c r="P246" s="2"/>
      <c r="Q246" s="3" t="s">
        <v>714</v>
      </c>
      <c r="R246" s="2" t="s">
        <v>548</v>
      </c>
      <c r="S246" s="2">
        <v>120</v>
      </c>
      <c r="T246" s="2">
        <f t="shared" si="15"/>
        <v>262</v>
      </c>
      <c r="U246" s="2"/>
      <c r="V246" s="2"/>
    </row>
    <row r="247" spans="1:22" hidden="1" x14ac:dyDescent="0.25">
      <c r="A247" s="6">
        <v>246</v>
      </c>
      <c r="B247" s="7" t="s">
        <v>715</v>
      </c>
      <c r="C247" s="6">
        <v>28</v>
      </c>
      <c r="D247" s="6">
        <v>52</v>
      </c>
      <c r="E247" s="6">
        <v>22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2"/>
        <v>50</v>
      </c>
      <c r="M247" s="6">
        <f t="shared" si="13"/>
        <v>50</v>
      </c>
      <c r="N247" s="6" t="str">
        <f t="shared" si="14"/>
        <v>40 – 50</v>
      </c>
      <c r="O247" s="6">
        <v>2</v>
      </c>
      <c r="P247" s="6"/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hidden="1" x14ac:dyDescent="0.25">
      <c r="A248" s="2">
        <v>247</v>
      </c>
      <c r="B248" s="3" t="s">
        <v>718</v>
      </c>
      <c r="C248" s="2"/>
      <c r="D248" s="2"/>
      <c r="E248" s="2"/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2"/>
        <v>70</v>
      </c>
      <c r="M248" s="2">
        <f t="shared" si="13"/>
        <v>97</v>
      </c>
      <c r="N248" s="2" t="str">
        <f t="shared" si="14"/>
        <v>78 – 97</v>
      </c>
      <c r="O248" s="2">
        <v>4</v>
      </c>
      <c r="P248" s="2"/>
      <c r="Q248" s="3" t="s">
        <v>719</v>
      </c>
      <c r="R248" s="2" t="s">
        <v>720</v>
      </c>
      <c r="S248" s="2">
        <v>100</v>
      </c>
      <c r="T248" s="2">
        <f t="shared" si="15"/>
        <v>97</v>
      </c>
      <c r="U248" s="2">
        <v>246</v>
      </c>
      <c r="V248" s="2"/>
    </row>
    <row r="249" spans="1:22" hidden="1" x14ac:dyDescent="0.25">
      <c r="A249" s="6">
        <v>248</v>
      </c>
      <c r="B249" s="7" t="s">
        <v>721</v>
      </c>
      <c r="C249" s="6"/>
      <c r="D249" s="6"/>
      <c r="E249" s="6"/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2"/>
        <v>105</v>
      </c>
      <c r="M249" s="6">
        <f t="shared" si="13"/>
        <v>230</v>
      </c>
      <c r="N249" s="6" t="str">
        <f t="shared" si="14"/>
        <v>184 – 230</v>
      </c>
      <c r="O249" s="6">
        <v>6</v>
      </c>
      <c r="P249" s="6"/>
      <c r="Q249" s="7" t="s">
        <v>722</v>
      </c>
      <c r="R249" s="6" t="s">
        <v>720</v>
      </c>
      <c r="S249" s="6">
        <v>100</v>
      </c>
      <c r="T249" s="6">
        <f t="shared" si="15"/>
        <v>230</v>
      </c>
      <c r="U249" s="6">
        <v>247</v>
      </c>
      <c r="V249" s="6"/>
    </row>
    <row r="250" spans="1:22" hidden="1" x14ac:dyDescent="0.25">
      <c r="A250" s="2">
        <v>249</v>
      </c>
      <c r="B250" s="3" t="s">
        <v>723</v>
      </c>
      <c r="C250" s="2"/>
      <c r="D250" s="2"/>
      <c r="E250" s="2"/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2"/>
        <v>142</v>
      </c>
      <c r="M250" s="2">
        <f t="shared" si="13"/>
        <v>374</v>
      </c>
      <c r="N250" s="2" t="str">
        <f t="shared" si="14"/>
        <v>299 – 374</v>
      </c>
      <c r="O250" s="2">
        <v>6</v>
      </c>
      <c r="P250" s="2"/>
      <c r="Q250" s="3" t="s">
        <v>724</v>
      </c>
      <c r="R250" s="2" t="s">
        <v>725</v>
      </c>
      <c r="S250" s="2">
        <v>140</v>
      </c>
      <c r="T250" s="2">
        <f t="shared" si="15"/>
        <v>374</v>
      </c>
      <c r="U250" s="2"/>
      <c r="V250" s="2"/>
    </row>
    <row r="251" spans="1:22" hidden="1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2"/>
        <v>122</v>
      </c>
      <c r="M251" s="6">
        <f t="shared" si="13"/>
        <v>301</v>
      </c>
      <c r="N251" s="6" t="str">
        <f t="shared" si="14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hidden="1" x14ac:dyDescent="0.25">
      <c r="A252" s="2">
        <v>251</v>
      </c>
      <c r="B252" s="3" t="s">
        <v>729</v>
      </c>
      <c r="C252" s="2"/>
      <c r="D252" s="2"/>
      <c r="E252" s="2"/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2"/>
        <v>100</v>
      </c>
      <c r="M252" s="2">
        <f t="shared" si="13"/>
        <v>215</v>
      </c>
      <c r="N252" s="2" t="str">
        <f t="shared" si="14"/>
        <v>172 – 215</v>
      </c>
      <c r="O252" s="2">
        <v>6</v>
      </c>
      <c r="P252" s="2"/>
      <c r="Q252" s="3" t="s">
        <v>730</v>
      </c>
      <c r="R252" s="2" t="s">
        <v>731</v>
      </c>
      <c r="S252" s="2">
        <v>80</v>
      </c>
      <c r="T252" s="2">
        <f t="shared" si="15"/>
        <v>215</v>
      </c>
      <c r="U252" s="2"/>
      <c r="V252" s="2"/>
    </row>
    <row r="253" spans="1:22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2"/>
        <v>45</v>
      </c>
      <c r="M253" s="6">
        <f t="shared" si="13"/>
        <v>39</v>
      </c>
      <c r="N253" s="6" t="str">
        <f t="shared" si="14"/>
        <v>31 – 39</v>
      </c>
      <c r="O253" s="6">
        <v>1</v>
      </c>
      <c r="P253" s="6">
        <v>22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hidden="1" x14ac:dyDescent="0.25">
      <c r="A254" s="2">
        <v>253</v>
      </c>
      <c r="B254" s="3" t="s">
        <v>735</v>
      </c>
      <c r="C254" s="2"/>
      <c r="D254" s="2"/>
      <c r="E254" s="2"/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2"/>
        <v>55</v>
      </c>
      <c r="M254" s="2">
        <f t="shared" si="13"/>
        <v>56</v>
      </c>
      <c r="N254" s="2" t="str">
        <f t="shared" si="14"/>
        <v>45 – 56</v>
      </c>
      <c r="O254" s="2">
        <v>3</v>
      </c>
      <c r="P254" s="2"/>
      <c r="Q254" s="3" t="s">
        <v>736</v>
      </c>
      <c r="R254" s="2" t="s">
        <v>737</v>
      </c>
      <c r="S254" s="2">
        <v>20</v>
      </c>
      <c r="T254" s="2">
        <f t="shared" si="15"/>
        <v>56</v>
      </c>
      <c r="U254" s="2">
        <v>252</v>
      </c>
      <c r="V254" s="2"/>
    </row>
    <row r="255" spans="1:22" hidden="1" x14ac:dyDescent="0.25">
      <c r="A255" s="6">
        <v>254</v>
      </c>
      <c r="B255" s="7" t="s">
        <v>738</v>
      </c>
      <c r="C255" s="6"/>
      <c r="D255" s="6"/>
      <c r="E255" s="6"/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2"/>
        <v>75</v>
      </c>
      <c r="M255" s="6">
        <f t="shared" si="13"/>
        <v>106</v>
      </c>
      <c r="N255" s="6" t="str">
        <f t="shared" si="14"/>
        <v>85 – 106</v>
      </c>
      <c r="O255" s="6">
        <v>5</v>
      </c>
      <c r="P255" s="6"/>
      <c r="Q255" s="7" t="s">
        <v>739</v>
      </c>
      <c r="R255" s="6" t="s">
        <v>740</v>
      </c>
      <c r="S255" s="6">
        <v>90</v>
      </c>
      <c r="T255" s="6">
        <f t="shared" si="15"/>
        <v>106</v>
      </c>
      <c r="U255" s="6">
        <v>253</v>
      </c>
      <c r="V255" s="6"/>
    </row>
    <row r="256" spans="1:22" x14ac:dyDescent="0.25">
      <c r="A256" s="2">
        <v>255</v>
      </c>
      <c r="B256" s="3" t="s">
        <v>741</v>
      </c>
      <c r="C256" s="2">
        <v>29</v>
      </c>
      <c r="D256" s="2">
        <v>50</v>
      </c>
      <c r="E256" s="2">
        <v>25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2"/>
        <v>45</v>
      </c>
      <c r="M256" s="2">
        <f t="shared" si="13"/>
        <v>42</v>
      </c>
      <c r="N256" s="2" t="str">
        <f t="shared" si="14"/>
        <v>34 – 42</v>
      </c>
      <c r="O256" s="2">
        <v>1</v>
      </c>
      <c r="P256" s="2">
        <v>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hidden="1" x14ac:dyDescent="0.25">
      <c r="A257" s="6">
        <v>256</v>
      </c>
      <c r="B257" s="7" t="s">
        <v>744</v>
      </c>
      <c r="C257" s="6">
        <v>37</v>
      </c>
      <c r="D257" s="6">
        <v>60</v>
      </c>
      <c r="E257" s="6">
        <v>35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2"/>
        <v>60</v>
      </c>
      <c r="M257" s="6">
        <f t="shared" si="13"/>
        <v>71</v>
      </c>
      <c r="N257" s="6" t="str">
        <f t="shared" si="14"/>
        <v>57 – 71</v>
      </c>
      <c r="O257" s="6">
        <v>2</v>
      </c>
      <c r="P257" s="6"/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hidden="1" x14ac:dyDescent="0.25">
      <c r="A258" s="2">
        <v>257</v>
      </c>
      <c r="B258" s="3" t="s">
        <v>746</v>
      </c>
      <c r="C258" s="2"/>
      <c r="D258" s="2"/>
      <c r="E258" s="2"/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ref="L258:L321" si="16">AVERAGE(J258,K258)</f>
        <v>70</v>
      </c>
      <c r="M258" s="2">
        <f t="shared" ref="M258:M321" si="17">ROUND(H258*POWER(L258,1.5)/500+15,0)</f>
        <v>109</v>
      </c>
      <c r="N258" s="2" t="str">
        <f t="shared" ref="N258:N321" si="18">TEXT(ROUND(M258*0.8,0),"0")&amp;" – "&amp;TEXT(M258,"0")</f>
        <v>87 – 109</v>
      </c>
      <c r="O258" s="2">
        <v>3</v>
      </c>
      <c r="P258" s="2"/>
      <c r="Q258" s="3" t="s">
        <v>747</v>
      </c>
      <c r="R258" s="2" t="s">
        <v>748</v>
      </c>
      <c r="S258" s="2">
        <v>120</v>
      </c>
      <c r="T258" s="2">
        <f t="shared" ref="T258:T321" si="19">M258-C258</f>
        <v>109</v>
      </c>
      <c r="U258" s="2">
        <v>256</v>
      </c>
      <c r="V258" s="2"/>
    </row>
    <row r="259" spans="1:22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si="16"/>
        <v>50</v>
      </c>
      <c r="M259" s="6">
        <f t="shared" si="17"/>
        <v>50</v>
      </c>
      <c r="N259" s="6" t="str">
        <f t="shared" si="18"/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hidden="1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16"/>
        <v>70</v>
      </c>
      <c r="M260" s="2">
        <f t="shared" si="17"/>
        <v>97</v>
      </c>
      <c r="N260" s="2" t="str">
        <f t="shared" si="18"/>
        <v>78 – 97</v>
      </c>
      <c r="O260" s="2">
        <v>2</v>
      </c>
      <c r="P260" s="2"/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hidden="1" x14ac:dyDescent="0.25">
      <c r="A261" s="6">
        <v>260</v>
      </c>
      <c r="B261" s="7" t="s">
        <v>755</v>
      </c>
      <c r="C261" s="6"/>
      <c r="D261" s="6"/>
      <c r="E261" s="6"/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16"/>
        <v>90</v>
      </c>
      <c r="M261" s="6">
        <f t="shared" si="17"/>
        <v>186</v>
      </c>
      <c r="N261" s="6" t="str">
        <f t="shared" si="18"/>
        <v>149 – 186</v>
      </c>
      <c r="O261" s="6">
        <v>3</v>
      </c>
      <c r="P261" s="6"/>
      <c r="Q261" s="7" t="s">
        <v>756</v>
      </c>
      <c r="R261" s="6" t="s">
        <v>757</v>
      </c>
      <c r="S261" s="6">
        <v>120</v>
      </c>
      <c r="T261" s="6">
        <f t="shared" si="19"/>
        <v>186</v>
      </c>
      <c r="U261" s="6">
        <v>259</v>
      </c>
      <c r="V261" s="6"/>
    </row>
    <row r="262" spans="1:22" hidden="1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16"/>
        <v>32.5</v>
      </c>
      <c r="M262" s="2">
        <f t="shared" si="17"/>
        <v>28</v>
      </c>
      <c r="N262" s="2" t="str">
        <f t="shared" si="18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hidden="1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16"/>
        <v>65</v>
      </c>
      <c r="M263" s="6">
        <f t="shared" si="17"/>
        <v>88</v>
      </c>
      <c r="N263" s="6" t="str">
        <f t="shared" si="18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hidden="1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16"/>
        <v>41</v>
      </c>
      <c r="M264" s="2">
        <f t="shared" si="17"/>
        <v>35</v>
      </c>
      <c r="N264" s="2" t="str">
        <f t="shared" si="18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hidden="1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16"/>
        <v>61</v>
      </c>
      <c r="M265" s="6">
        <f t="shared" si="17"/>
        <v>89</v>
      </c>
      <c r="N265" s="6" t="str">
        <f t="shared" si="18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hidden="1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16"/>
        <v>32.5</v>
      </c>
      <c r="M266" s="2">
        <f t="shared" si="17"/>
        <v>32</v>
      </c>
      <c r="N266" s="2" t="str">
        <f t="shared" si="18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hidden="1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16"/>
        <v>40</v>
      </c>
      <c r="M267" s="6">
        <f t="shared" si="17"/>
        <v>40</v>
      </c>
      <c r="N267" s="6" t="str">
        <f t="shared" si="18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hidden="1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16"/>
        <v>50</v>
      </c>
      <c r="M268" s="2">
        <f t="shared" si="17"/>
        <v>57</v>
      </c>
      <c r="N268" s="2" t="str">
        <f t="shared" si="18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hidden="1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16"/>
        <v>40</v>
      </c>
      <c r="M269" s="6">
        <f t="shared" si="17"/>
        <v>40</v>
      </c>
      <c r="N269" s="6" t="str">
        <f t="shared" si="18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hidden="1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16"/>
        <v>80</v>
      </c>
      <c r="M270" s="2">
        <f t="shared" si="17"/>
        <v>101</v>
      </c>
      <c r="N270" s="2" t="str">
        <f t="shared" si="18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hidden="1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16"/>
        <v>40</v>
      </c>
      <c r="M271" s="6">
        <f t="shared" si="17"/>
        <v>35</v>
      </c>
      <c r="N271" s="6" t="str">
        <f t="shared" si="18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hidden="1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16"/>
        <v>60</v>
      </c>
      <c r="M272" s="2">
        <f t="shared" si="17"/>
        <v>71</v>
      </c>
      <c r="N272" s="2" t="str">
        <f t="shared" si="18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hidden="1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16"/>
        <v>85</v>
      </c>
      <c r="M273" s="6">
        <f t="shared" si="17"/>
        <v>140</v>
      </c>
      <c r="N273" s="6" t="str">
        <f t="shared" si="18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 t="s">
        <v>1118</v>
      </c>
    </row>
    <row r="274" spans="1:22" hidden="1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16"/>
        <v>40</v>
      </c>
      <c r="M274" s="2">
        <f t="shared" si="17"/>
        <v>35</v>
      </c>
      <c r="N274" s="2" t="str">
        <f t="shared" si="18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hidden="1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16"/>
        <v>40</v>
      </c>
      <c r="M275" s="6">
        <f t="shared" si="17"/>
        <v>50</v>
      </c>
      <c r="N275" s="6" t="str">
        <f t="shared" si="18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hidden="1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16"/>
        <v>60</v>
      </c>
      <c r="M276" s="2">
        <f t="shared" si="17"/>
        <v>99</v>
      </c>
      <c r="N276" s="2" t="str">
        <f t="shared" si="18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 t="s">
        <v>1117</v>
      </c>
    </row>
    <row r="277" spans="1:22" hidden="1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16"/>
        <v>30</v>
      </c>
      <c r="M277" s="6">
        <f t="shared" si="17"/>
        <v>28</v>
      </c>
      <c r="N277" s="6" t="str">
        <f t="shared" si="18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hidden="1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16"/>
        <v>55</v>
      </c>
      <c r="M278" s="2">
        <f t="shared" si="17"/>
        <v>64</v>
      </c>
      <c r="N278" s="2" t="str">
        <f t="shared" si="18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hidden="1" x14ac:dyDescent="0.25">
      <c r="A279" s="6">
        <v>278</v>
      </c>
      <c r="B279" s="7" t="s">
        <v>801</v>
      </c>
      <c r="C279" s="6">
        <v>19</v>
      </c>
      <c r="D279" s="6">
        <v>42</v>
      </c>
      <c r="E279" s="6">
        <v>49</v>
      </c>
      <c r="F279" s="10" t="s">
        <v>40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16"/>
        <v>30</v>
      </c>
      <c r="M279" s="6">
        <f t="shared" si="17"/>
        <v>28</v>
      </c>
      <c r="N279" s="6" t="str">
        <f t="shared" si="18"/>
        <v>22 – 28</v>
      </c>
      <c r="O279" s="6">
        <v>2</v>
      </c>
      <c r="P279" s="6"/>
      <c r="Q279" s="7" t="s">
        <v>802</v>
      </c>
      <c r="R279" s="6" t="s">
        <v>803</v>
      </c>
      <c r="S279" s="6">
        <v>60</v>
      </c>
      <c r="T279" s="6">
        <f t="shared" si="19"/>
        <v>9</v>
      </c>
      <c r="U279" s="6"/>
      <c r="V279" s="6"/>
    </row>
    <row r="280" spans="1:22" hidden="1" x14ac:dyDescent="0.25">
      <c r="A280" s="2">
        <v>279</v>
      </c>
      <c r="B280" s="3" t="s">
        <v>804</v>
      </c>
      <c r="C280" s="2"/>
      <c r="D280" s="2"/>
      <c r="E280" s="2"/>
      <c r="F280" s="10" t="s">
        <v>40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16"/>
        <v>85</v>
      </c>
      <c r="M280" s="2">
        <f t="shared" si="17"/>
        <v>109</v>
      </c>
      <c r="N280" s="2" t="str">
        <f t="shared" si="18"/>
        <v>87 – 109</v>
      </c>
      <c r="O280" s="2">
        <v>4</v>
      </c>
      <c r="P280" s="2"/>
      <c r="Q280" s="3" t="s">
        <v>805</v>
      </c>
      <c r="R280" s="2" t="s">
        <v>806</v>
      </c>
      <c r="S280" s="2">
        <v>120</v>
      </c>
      <c r="T280" s="2">
        <f t="shared" si="19"/>
        <v>109</v>
      </c>
      <c r="U280" s="2">
        <v>278</v>
      </c>
      <c r="V280" s="2"/>
    </row>
    <row r="281" spans="1:22" hidden="1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16"/>
        <v>30</v>
      </c>
      <c r="M281" s="6">
        <f t="shared" si="17"/>
        <v>24</v>
      </c>
      <c r="N281" s="6" t="str">
        <f t="shared" si="18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hidden="1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16"/>
        <v>45</v>
      </c>
      <c r="M282" s="2">
        <f t="shared" si="17"/>
        <v>38</v>
      </c>
      <c r="N282" s="2" t="str">
        <f t="shared" si="18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hidden="1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16"/>
        <v>90</v>
      </c>
      <c r="M283" s="6">
        <f t="shared" si="17"/>
        <v>131</v>
      </c>
      <c r="N283" s="6" t="str">
        <f t="shared" si="18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hidden="1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16"/>
        <v>42</v>
      </c>
      <c r="M284" s="2">
        <f t="shared" si="17"/>
        <v>37</v>
      </c>
      <c r="N284" s="2" t="str">
        <f t="shared" si="18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hidden="1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16"/>
        <v>72</v>
      </c>
      <c r="M285" s="6">
        <f t="shared" si="17"/>
        <v>101</v>
      </c>
      <c r="N285" s="6" t="str">
        <f t="shared" si="18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hidden="1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16"/>
        <v>60</v>
      </c>
      <c r="M286" s="2">
        <f t="shared" si="17"/>
        <v>71</v>
      </c>
      <c r="N286" s="2" t="str">
        <f t="shared" si="18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hidden="1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16"/>
        <v>70</v>
      </c>
      <c r="M287" s="6">
        <f t="shared" si="17"/>
        <v>85</v>
      </c>
      <c r="N287" s="6" t="str">
        <f t="shared" si="18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x14ac:dyDescent="0.25">
      <c r="A288" s="2">
        <v>287</v>
      </c>
      <c r="B288" s="3" t="s">
        <v>827</v>
      </c>
      <c r="C288" s="2">
        <v>23</v>
      </c>
      <c r="D288" s="2">
        <v>55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16"/>
        <v>47.5</v>
      </c>
      <c r="M288" s="2">
        <f t="shared" si="17"/>
        <v>54</v>
      </c>
      <c r="N288" s="2" t="str">
        <f t="shared" si="18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hidden="1" x14ac:dyDescent="0.25">
      <c r="A289" s="6">
        <v>288</v>
      </c>
      <c r="B289" s="7" t="s">
        <v>829</v>
      </c>
      <c r="C289" s="6"/>
      <c r="D289" s="6"/>
      <c r="E289" s="6"/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16"/>
        <v>67.5</v>
      </c>
      <c r="M289" s="6">
        <f t="shared" si="17"/>
        <v>104</v>
      </c>
      <c r="N289" s="6" t="str">
        <f t="shared" si="18"/>
        <v>83 – 104</v>
      </c>
      <c r="O289" s="6">
        <v>3</v>
      </c>
      <c r="P289" s="6"/>
      <c r="Q289" s="7" t="s">
        <v>830</v>
      </c>
      <c r="R289" s="6" t="s">
        <v>263</v>
      </c>
      <c r="S289" s="6">
        <v>70</v>
      </c>
      <c r="T289" s="6">
        <f t="shared" si="19"/>
        <v>104</v>
      </c>
      <c r="U289" s="6">
        <v>287</v>
      </c>
      <c r="V289" s="6"/>
    </row>
    <row r="290" spans="1:22" hidden="1" x14ac:dyDescent="0.25">
      <c r="A290" s="2">
        <v>289</v>
      </c>
      <c r="B290" s="3" t="s">
        <v>831</v>
      </c>
      <c r="C290" s="2"/>
      <c r="D290" s="2"/>
      <c r="E290" s="2"/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16"/>
        <v>82.5</v>
      </c>
      <c r="M290" s="2">
        <f t="shared" si="17"/>
        <v>240</v>
      </c>
      <c r="N290" s="2" t="str">
        <f t="shared" si="18"/>
        <v>192 – 240</v>
      </c>
      <c r="O290" s="2">
        <v>5</v>
      </c>
      <c r="P290" s="2"/>
      <c r="Q290" s="3" t="s">
        <v>832</v>
      </c>
      <c r="R290" s="2" t="s">
        <v>833</v>
      </c>
      <c r="S290" s="2">
        <v>150</v>
      </c>
      <c r="T290" s="2">
        <f t="shared" si="19"/>
        <v>240</v>
      </c>
      <c r="U290" s="2">
        <v>288</v>
      </c>
      <c r="V290" s="2"/>
    </row>
    <row r="291" spans="1:22" hidden="1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16"/>
        <v>60</v>
      </c>
      <c r="M291" s="6">
        <f t="shared" si="17"/>
        <v>44</v>
      </c>
      <c r="N291" s="6" t="str">
        <f t="shared" si="18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hidden="1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16"/>
        <v>47.5</v>
      </c>
      <c r="M292" s="2">
        <f t="shared" si="17"/>
        <v>55</v>
      </c>
      <c r="N292" s="2" t="str">
        <f t="shared" si="18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hidden="1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16"/>
        <v>37.5</v>
      </c>
      <c r="M293" s="6">
        <f t="shared" si="17"/>
        <v>15</v>
      </c>
      <c r="N293" s="6" t="str">
        <f t="shared" si="18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hidden="1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16"/>
        <v>23</v>
      </c>
      <c r="M294" s="2">
        <f t="shared" si="17"/>
        <v>29</v>
      </c>
      <c r="N294" s="2" t="str">
        <f t="shared" si="18"/>
        <v>23 – 29</v>
      </c>
      <c r="O294" s="2">
        <v>2</v>
      </c>
      <c r="P294" s="2"/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hidden="1" x14ac:dyDescent="0.25">
      <c r="A295" s="6">
        <v>294</v>
      </c>
      <c r="B295" s="7" t="s">
        <v>845</v>
      </c>
      <c r="C295" s="6"/>
      <c r="D295" s="6"/>
      <c r="E295" s="6"/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16"/>
        <v>43</v>
      </c>
      <c r="M295" s="6">
        <f t="shared" si="17"/>
        <v>62</v>
      </c>
      <c r="N295" s="6" t="str">
        <f t="shared" si="18"/>
        <v>50 – 62</v>
      </c>
      <c r="O295" s="6">
        <v>3</v>
      </c>
      <c r="P295" s="6"/>
      <c r="Q295" s="7" t="s">
        <v>846</v>
      </c>
      <c r="R295" s="6" t="s">
        <v>847</v>
      </c>
      <c r="S295" s="6">
        <v>65</v>
      </c>
      <c r="T295" s="6">
        <f t="shared" si="19"/>
        <v>62</v>
      </c>
      <c r="U295" s="6">
        <v>293</v>
      </c>
      <c r="V295" s="6"/>
    </row>
    <row r="296" spans="1:22" hidden="1" x14ac:dyDescent="0.25">
      <c r="A296" s="2">
        <v>295</v>
      </c>
      <c r="B296" s="3" t="s">
        <v>848</v>
      </c>
      <c r="C296" s="2"/>
      <c r="D296" s="2"/>
      <c r="E296" s="2"/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16"/>
        <v>68</v>
      </c>
      <c r="M296" s="2">
        <f t="shared" si="17"/>
        <v>132</v>
      </c>
      <c r="N296" s="2" t="str">
        <f t="shared" si="18"/>
        <v>106 – 132</v>
      </c>
      <c r="O296" s="2">
        <v>4</v>
      </c>
      <c r="P296" s="2"/>
      <c r="Q296" s="3" t="s">
        <v>849</v>
      </c>
      <c r="R296" s="2" t="s">
        <v>850</v>
      </c>
      <c r="S296" s="2">
        <v>140</v>
      </c>
      <c r="T296" s="2">
        <f t="shared" si="19"/>
        <v>132</v>
      </c>
      <c r="U296" s="2">
        <v>294</v>
      </c>
      <c r="V296" s="2"/>
    </row>
    <row r="297" spans="1:22" hidden="1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16"/>
        <v>30</v>
      </c>
      <c r="M297" s="6">
        <f t="shared" si="17"/>
        <v>39</v>
      </c>
      <c r="N297" s="6" t="str">
        <f t="shared" si="18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hidden="1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16"/>
        <v>60</v>
      </c>
      <c r="M298" s="2">
        <f t="shared" si="17"/>
        <v>149</v>
      </c>
      <c r="N298" s="2" t="str">
        <f t="shared" si="18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hidden="1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16"/>
        <v>40</v>
      </c>
      <c r="M299" s="6">
        <f t="shared" si="17"/>
        <v>40</v>
      </c>
      <c r="N299" s="6" t="str">
        <f t="shared" si="18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hidden="1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16"/>
        <v>112.5</v>
      </c>
      <c r="M300" s="2">
        <f t="shared" si="17"/>
        <v>87</v>
      </c>
      <c r="N300" s="2" t="str">
        <f t="shared" si="18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hidden="1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16"/>
        <v>40</v>
      </c>
      <c r="M301" s="6">
        <f t="shared" si="17"/>
        <v>40</v>
      </c>
      <c r="N301" s="6" t="str">
        <f t="shared" si="18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hidden="1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16"/>
        <v>60</v>
      </c>
      <c r="M302" s="2">
        <f t="shared" si="17"/>
        <v>80</v>
      </c>
      <c r="N302" s="2" t="str">
        <f t="shared" si="18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 t="s">
        <v>1114</v>
      </c>
    </row>
    <row r="303" spans="1:22" hidden="1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16"/>
        <v>70</v>
      </c>
      <c r="M303" s="6">
        <f t="shared" si="17"/>
        <v>74</v>
      </c>
      <c r="N303" s="6" t="str">
        <f t="shared" si="18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hidden="1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16"/>
        <v>70</v>
      </c>
      <c r="M304" s="2">
        <f t="shared" si="17"/>
        <v>74</v>
      </c>
      <c r="N304" s="2" t="str">
        <f t="shared" si="18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hidden="1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16"/>
        <v>70</v>
      </c>
      <c r="M305" s="6">
        <f t="shared" si="17"/>
        <v>74</v>
      </c>
      <c r="N305" s="6" t="str">
        <f t="shared" si="18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hidden="1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16"/>
        <v>95</v>
      </c>
      <c r="M306" s="2">
        <f t="shared" si="17"/>
        <v>126</v>
      </c>
      <c r="N306" s="2" t="str">
        <f t="shared" si="18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hidden="1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16"/>
        <v>120</v>
      </c>
      <c r="M307" s="6">
        <f t="shared" si="17"/>
        <v>199</v>
      </c>
      <c r="N307" s="6" t="str">
        <f t="shared" si="18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hidden="1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16"/>
        <v>55</v>
      </c>
      <c r="M308" s="2">
        <f t="shared" si="17"/>
        <v>39</v>
      </c>
      <c r="N308" s="2" t="str">
        <f t="shared" si="18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hidden="1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16"/>
        <v>75</v>
      </c>
      <c r="M309" s="6">
        <f t="shared" si="17"/>
        <v>93</v>
      </c>
      <c r="N309" s="6" t="str">
        <f t="shared" si="18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hidden="1" x14ac:dyDescent="0.25">
      <c r="A310" s="2">
        <v>309</v>
      </c>
      <c r="B310" s="3" t="s">
        <v>885</v>
      </c>
      <c r="C310" s="2"/>
      <c r="D310" s="2"/>
      <c r="E310" s="2"/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16"/>
        <v>40</v>
      </c>
      <c r="M310" s="2">
        <f t="shared" si="17"/>
        <v>35</v>
      </c>
      <c r="N310" s="2" t="str">
        <f t="shared" si="18"/>
        <v>28 – 35</v>
      </c>
      <c r="O310" s="2">
        <v>4</v>
      </c>
      <c r="P310" s="2"/>
      <c r="Q310" s="3" t="s">
        <v>886</v>
      </c>
      <c r="R310" s="2" t="s">
        <v>314</v>
      </c>
      <c r="S310" s="2">
        <v>65</v>
      </c>
      <c r="T310" s="2">
        <f t="shared" si="19"/>
        <v>35</v>
      </c>
      <c r="U310" s="2"/>
      <c r="V310" s="2"/>
    </row>
    <row r="311" spans="1:22" hidden="1" x14ac:dyDescent="0.25">
      <c r="A311" s="6">
        <v>310</v>
      </c>
      <c r="B311" s="7" t="s">
        <v>887</v>
      </c>
      <c r="C311" s="6"/>
      <c r="D311" s="6"/>
      <c r="E311" s="6"/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16"/>
        <v>60</v>
      </c>
      <c r="M311" s="6">
        <f t="shared" si="17"/>
        <v>80</v>
      </c>
      <c r="N311" s="6" t="str">
        <f t="shared" si="18"/>
        <v>64 – 80</v>
      </c>
      <c r="O311" s="6">
        <v>5</v>
      </c>
      <c r="P311" s="6"/>
      <c r="Q311" s="7" t="s">
        <v>888</v>
      </c>
      <c r="R311" s="6" t="s">
        <v>889</v>
      </c>
      <c r="S311" s="6">
        <v>120</v>
      </c>
      <c r="T311" s="6">
        <f t="shared" si="19"/>
        <v>80</v>
      </c>
      <c r="U311" s="6">
        <v>309</v>
      </c>
      <c r="V311" s="6"/>
    </row>
    <row r="312" spans="1:22" hidden="1" x14ac:dyDescent="0.25">
      <c r="A312" s="2">
        <v>311</v>
      </c>
      <c r="B312" s="3" t="s">
        <v>890</v>
      </c>
      <c r="C312" s="2"/>
      <c r="D312" s="2"/>
      <c r="E312" s="2"/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16"/>
        <v>57.5</v>
      </c>
      <c r="M312" s="2">
        <f t="shared" si="17"/>
        <v>67</v>
      </c>
      <c r="N312" s="2" t="str">
        <f t="shared" si="18"/>
        <v>54 – 67</v>
      </c>
      <c r="O312" s="2">
        <v>3</v>
      </c>
      <c r="P312" s="2"/>
      <c r="Q312" s="3" t="s">
        <v>891</v>
      </c>
      <c r="R312" s="2" t="s">
        <v>892</v>
      </c>
      <c r="S312" s="2">
        <v>120</v>
      </c>
      <c r="T312" s="2">
        <f t="shared" si="19"/>
        <v>67</v>
      </c>
      <c r="U312" s="2"/>
      <c r="V312" s="2"/>
    </row>
    <row r="313" spans="1:22" hidden="1" x14ac:dyDescent="0.25">
      <c r="A313" s="6">
        <v>312</v>
      </c>
      <c r="B313" s="7" t="s">
        <v>893</v>
      </c>
      <c r="C313" s="6"/>
      <c r="D313" s="6"/>
      <c r="E313" s="6"/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16"/>
        <v>67.5</v>
      </c>
      <c r="M313" s="6">
        <f t="shared" si="17"/>
        <v>82</v>
      </c>
      <c r="N313" s="6" t="str">
        <f t="shared" si="18"/>
        <v>66 – 82</v>
      </c>
      <c r="O313" s="6">
        <v>3</v>
      </c>
      <c r="P313" s="6"/>
      <c r="Q313" s="7" t="s">
        <v>894</v>
      </c>
      <c r="R313" s="6" t="s">
        <v>892</v>
      </c>
      <c r="S313" s="6">
        <v>120</v>
      </c>
      <c r="T313" s="6">
        <f t="shared" si="19"/>
        <v>82</v>
      </c>
      <c r="U313" s="6"/>
      <c r="V313" s="6"/>
    </row>
    <row r="314" spans="1:22" hidden="1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16"/>
        <v>80</v>
      </c>
      <c r="M314" s="2">
        <f t="shared" si="17"/>
        <v>108</v>
      </c>
      <c r="N314" s="2" t="str">
        <f t="shared" si="18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hidden="1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16"/>
        <v>80</v>
      </c>
      <c r="M315" s="6">
        <f t="shared" si="17"/>
        <v>108</v>
      </c>
      <c r="N315" s="6" t="str">
        <f t="shared" si="18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hidden="1" x14ac:dyDescent="0.25">
      <c r="A316" s="2">
        <v>315</v>
      </c>
      <c r="B316" s="3" t="s">
        <v>901</v>
      </c>
      <c r="C316" s="2">
        <v>34</v>
      </c>
      <c r="D316" s="2">
        <v>47</v>
      </c>
      <c r="E316" s="2">
        <v>45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16"/>
        <v>62.5</v>
      </c>
      <c r="M316" s="2">
        <f t="shared" si="17"/>
        <v>64</v>
      </c>
      <c r="N316" s="2" t="str">
        <f t="shared" si="18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30</v>
      </c>
      <c r="U316" s="2"/>
      <c r="V316" s="2"/>
    </row>
    <row r="317" spans="1:22" hidden="1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16"/>
        <v>53</v>
      </c>
      <c r="M317" s="6">
        <f t="shared" si="17"/>
        <v>69</v>
      </c>
      <c r="N317" s="6" t="str">
        <f t="shared" si="18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hidden="1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16"/>
        <v>83</v>
      </c>
      <c r="M318" s="2">
        <f t="shared" si="17"/>
        <v>166</v>
      </c>
      <c r="N318" s="2" t="str">
        <f t="shared" si="18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hidden="1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16"/>
        <v>20</v>
      </c>
      <c r="M319" s="6">
        <f t="shared" si="17"/>
        <v>23</v>
      </c>
      <c r="N319" s="6" t="str">
        <f t="shared" si="18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hidden="1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16"/>
        <v>40</v>
      </c>
      <c r="M320" s="2">
        <f t="shared" si="17"/>
        <v>50</v>
      </c>
      <c r="N320" s="2" t="str">
        <f t="shared" si="18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hidden="1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16"/>
        <v>35</v>
      </c>
      <c r="M321" s="6">
        <f t="shared" si="17"/>
        <v>69</v>
      </c>
      <c r="N321" s="6" t="str">
        <f t="shared" si="18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hidden="1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ref="L322:L385" si="20">AVERAGE(J322,K322)</f>
        <v>45</v>
      </c>
      <c r="M322" s="2">
        <f t="shared" ref="M322:M385" si="21">ROUND(H322*POWER(L322,1.5)/500+15,0)</f>
        <v>118</v>
      </c>
      <c r="N322" s="2" t="str">
        <f t="shared" ref="N322:N385" si="22">TEXT(ROUND(M322*0.8,0),"0")&amp;" – "&amp;TEXT(M322,"0")</f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hidden="1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si="20"/>
        <v>42.5</v>
      </c>
      <c r="M323" s="6">
        <f t="shared" si="21"/>
        <v>48</v>
      </c>
      <c r="N323" s="6" t="str">
        <f t="shared" si="22"/>
        <v>38 – 48</v>
      </c>
      <c r="O323" s="6">
        <v>2</v>
      </c>
      <c r="P323" s="6"/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hidden="1" x14ac:dyDescent="0.25">
      <c r="A324" s="2">
        <v>323</v>
      </c>
      <c r="B324" s="3" t="s">
        <v>924</v>
      </c>
      <c r="C324" s="2"/>
      <c r="D324" s="2"/>
      <c r="E324" s="2"/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0"/>
        <v>72.5</v>
      </c>
      <c r="M324" s="2">
        <f t="shared" si="21"/>
        <v>101</v>
      </c>
      <c r="N324" s="2" t="str">
        <f t="shared" si="22"/>
        <v>81 – 101</v>
      </c>
      <c r="O324" s="2">
        <v>4</v>
      </c>
      <c r="P324" s="2"/>
      <c r="Q324" s="3" t="s">
        <v>925</v>
      </c>
      <c r="R324" s="2" t="s">
        <v>926</v>
      </c>
      <c r="S324" s="2">
        <v>100</v>
      </c>
      <c r="T324" s="2">
        <f t="shared" si="23"/>
        <v>101</v>
      </c>
      <c r="U324" s="2">
        <v>322</v>
      </c>
      <c r="V324" s="2"/>
    </row>
    <row r="325" spans="1:22" hidden="1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0"/>
        <v>105</v>
      </c>
      <c r="M325" s="6">
        <f t="shared" si="21"/>
        <v>166</v>
      </c>
      <c r="N325" s="6" t="str">
        <f t="shared" si="22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hidden="1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0"/>
        <v>57.5</v>
      </c>
      <c r="M326" s="2">
        <f t="shared" si="21"/>
        <v>67</v>
      </c>
      <c r="N326" s="2" t="str">
        <f t="shared" si="22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hidden="1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0"/>
        <v>87.5</v>
      </c>
      <c r="M327" s="6">
        <f t="shared" si="21"/>
        <v>146</v>
      </c>
      <c r="N327" s="6" t="str">
        <f t="shared" si="22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hidden="1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0"/>
        <v>60</v>
      </c>
      <c r="M328" s="2">
        <f t="shared" si="21"/>
        <v>71</v>
      </c>
      <c r="N328" s="2" t="str">
        <f t="shared" si="22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hidden="1" x14ac:dyDescent="0.25">
      <c r="A329" s="6">
        <v>328</v>
      </c>
      <c r="B329" s="7" t="s">
        <v>939</v>
      </c>
      <c r="C329" s="6"/>
      <c r="D329" s="6"/>
      <c r="E329" s="6"/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0"/>
        <v>45</v>
      </c>
      <c r="M329" s="6">
        <f t="shared" si="21"/>
        <v>42</v>
      </c>
      <c r="N329" s="6" t="str">
        <f t="shared" si="22"/>
        <v>34 – 42</v>
      </c>
      <c r="O329" s="6">
        <v>3</v>
      </c>
      <c r="P329" s="6"/>
      <c r="Q329" s="7" t="s">
        <v>940</v>
      </c>
      <c r="R329" s="6" t="s">
        <v>941</v>
      </c>
      <c r="S329" s="6">
        <v>80</v>
      </c>
      <c r="T329" s="6">
        <f t="shared" si="23"/>
        <v>42</v>
      </c>
      <c r="U329" s="6"/>
      <c r="V329" s="6"/>
    </row>
    <row r="330" spans="1:22" hidden="1" x14ac:dyDescent="0.25">
      <c r="A330" s="2">
        <v>329</v>
      </c>
      <c r="B330" s="3" t="s">
        <v>942</v>
      </c>
      <c r="C330" s="2"/>
      <c r="D330" s="2"/>
      <c r="E330" s="2"/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0"/>
        <v>50</v>
      </c>
      <c r="M330" s="2">
        <f t="shared" si="21"/>
        <v>50</v>
      </c>
      <c r="N330" s="2" t="str">
        <f t="shared" si="22"/>
        <v>40 – 50</v>
      </c>
      <c r="O330" s="2">
        <v>4</v>
      </c>
      <c r="P330" s="2"/>
      <c r="Q330" s="3" t="s">
        <v>943</v>
      </c>
      <c r="R330" s="2" t="s">
        <v>944</v>
      </c>
      <c r="S330" s="2">
        <v>60</v>
      </c>
      <c r="T330" s="2">
        <f t="shared" si="23"/>
        <v>50</v>
      </c>
      <c r="U330" s="2">
        <v>328</v>
      </c>
      <c r="V330" s="2"/>
    </row>
    <row r="331" spans="1:22" hidden="1" x14ac:dyDescent="0.25">
      <c r="A331" s="6">
        <v>330</v>
      </c>
      <c r="B331" s="7" t="s">
        <v>945</v>
      </c>
      <c r="C331" s="6"/>
      <c r="D331" s="6"/>
      <c r="E331" s="6"/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0"/>
        <v>80</v>
      </c>
      <c r="M331" s="6">
        <f t="shared" si="21"/>
        <v>129</v>
      </c>
      <c r="N331" s="6" t="str">
        <f t="shared" si="22"/>
        <v>103 – 129</v>
      </c>
      <c r="O331" s="6">
        <v>5</v>
      </c>
      <c r="P331" s="6"/>
      <c r="Q331" s="7" t="s">
        <v>946</v>
      </c>
      <c r="R331" s="6" t="s">
        <v>947</v>
      </c>
      <c r="S331" s="6">
        <v>80</v>
      </c>
      <c r="T331" s="6">
        <f t="shared" si="23"/>
        <v>129</v>
      </c>
      <c r="U331" s="6">
        <v>329</v>
      </c>
      <c r="V331" s="6"/>
    </row>
    <row r="332" spans="1:22" hidden="1" x14ac:dyDescent="0.25">
      <c r="A332" s="2">
        <v>331</v>
      </c>
      <c r="B332" s="3" t="s">
        <v>948</v>
      </c>
      <c r="C332" s="2">
        <v>38</v>
      </c>
      <c r="D332" s="2">
        <v>53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0"/>
        <v>40</v>
      </c>
      <c r="M332" s="2">
        <f t="shared" si="21"/>
        <v>40</v>
      </c>
      <c r="N332" s="2" t="str">
        <f t="shared" si="22"/>
        <v>32 – 40</v>
      </c>
      <c r="O332" s="2">
        <v>2</v>
      </c>
      <c r="P332" s="2"/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hidden="1" x14ac:dyDescent="0.25">
      <c r="A333" s="6">
        <v>332</v>
      </c>
      <c r="B333" s="7" t="s">
        <v>950</v>
      </c>
      <c r="C333" s="6"/>
      <c r="D333" s="6"/>
      <c r="E333" s="6"/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si="20"/>
        <v>60</v>
      </c>
      <c r="M333" s="6">
        <f t="shared" si="21"/>
        <v>80</v>
      </c>
      <c r="N333" s="6" t="str">
        <f t="shared" si="22"/>
        <v>64 – 80</v>
      </c>
      <c r="O333" s="6">
        <v>4</v>
      </c>
      <c r="P333" s="6"/>
      <c r="Q333" s="7" t="s">
        <v>951</v>
      </c>
      <c r="R333" s="6" t="s">
        <v>952</v>
      </c>
      <c r="S333" s="6">
        <v>60</v>
      </c>
      <c r="T333" s="6">
        <f t="shared" si="23"/>
        <v>80</v>
      </c>
      <c r="U333" s="6">
        <v>331</v>
      </c>
      <c r="V333" s="6"/>
    </row>
    <row r="334" spans="1:22" hidden="1" x14ac:dyDescent="0.25">
      <c r="A334" s="2">
        <v>333</v>
      </c>
      <c r="B334" s="3" t="s">
        <v>953</v>
      </c>
      <c r="C334" s="2">
        <v>26</v>
      </c>
      <c r="D334" s="2">
        <v>47</v>
      </c>
      <c r="E334" s="2">
        <v>30</v>
      </c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0"/>
        <v>67.5</v>
      </c>
      <c r="M334" s="2">
        <f t="shared" si="21"/>
        <v>65</v>
      </c>
      <c r="N334" s="2" t="str">
        <f t="shared" si="22"/>
        <v>52 – 65</v>
      </c>
      <c r="O334" s="2">
        <v>2</v>
      </c>
      <c r="P334" s="2"/>
      <c r="Q334" s="3" t="s">
        <v>954</v>
      </c>
      <c r="R334" s="2" t="s">
        <v>955</v>
      </c>
      <c r="S334" s="2">
        <v>90</v>
      </c>
      <c r="T334" s="2">
        <f t="shared" si="23"/>
        <v>39</v>
      </c>
      <c r="U334" s="2"/>
      <c r="V334" s="2"/>
    </row>
    <row r="335" spans="1:22" hidden="1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0"/>
        <v>97.5</v>
      </c>
      <c r="M335" s="6">
        <f t="shared" si="21"/>
        <v>159</v>
      </c>
      <c r="N335" s="6" t="str">
        <f t="shared" si="22"/>
        <v>127 – 159</v>
      </c>
      <c r="O335" s="6">
        <v>4</v>
      </c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hidden="1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0"/>
        <v>60</v>
      </c>
      <c r="M336" s="2">
        <f t="shared" si="21"/>
        <v>83</v>
      </c>
      <c r="N336" s="2" t="str">
        <f t="shared" si="22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hidden="1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0"/>
        <v>60</v>
      </c>
      <c r="M337" s="6">
        <f t="shared" si="21"/>
        <v>83</v>
      </c>
      <c r="N337" s="6" t="str">
        <f t="shared" si="22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hidden="1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0"/>
        <v>75</v>
      </c>
      <c r="M338" s="2">
        <f t="shared" si="21"/>
        <v>132</v>
      </c>
      <c r="N338" s="2" t="str">
        <f t="shared" si="22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hidden="1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0"/>
        <v>75</v>
      </c>
      <c r="M339" s="6">
        <f t="shared" si="21"/>
        <v>132</v>
      </c>
      <c r="N339" s="6" t="str">
        <f t="shared" si="22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hidden="1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0"/>
        <v>42</v>
      </c>
      <c r="M340" s="2">
        <f t="shared" si="21"/>
        <v>42</v>
      </c>
      <c r="N340" s="2" t="str">
        <f t="shared" si="22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hidden="1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0"/>
        <v>72</v>
      </c>
      <c r="M341" s="6">
        <f t="shared" si="21"/>
        <v>149</v>
      </c>
      <c r="N341" s="6" t="str">
        <f t="shared" si="22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hidden="1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0"/>
        <v>50</v>
      </c>
      <c r="M342" s="2">
        <f t="shared" si="21"/>
        <v>45</v>
      </c>
      <c r="N342" s="2" t="str">
        <f t="shared" si="22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hidden="1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0"/>
        <v>70</v>
      </c>
      <c r="M343" s="6">
        <f t="shared" si="21"/>
        <v>89</v>
      </c>
      <c r="N343" s="6" t="str">
        <f t="shared" si="22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hidden="1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0"/>
        <v>62.5</v>
      </c>
      <c r="M344" s="2">
        <f t="shared" si="21"/>
        <v>55</v>
      </c>
      <c r="N344" s="2" t="str">
        <f t="shared" si="22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hidden="1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0"/>
        <v>112.5</v>
      </c>
      <c r="M345" s="6">
        <f t="shared" si="21"/>
        <v>158</v>
      </c>
      <c r="N345" s="6" t="str">
        <f t="shared" si="22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hidden="1" x14ac:dyDescent="0.25">
      <c r="A346" s="2">
        <v>345</v>
      </c>
      <c r="B346" s="3" t="s">
        <v>988</v>
      </c>
      <c r="C346" s="2"/>
      <c r="D346" s="2"/>
      <c r="E346" s="2"/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0"/>
        <v>82</v>
      </c>
      <c r="M346" s="2">
        <f t="shared" si="21"/>
        <v>113</v>
      </c>
      <c r="N346" s="2" t="str">
        <f t="shared" si="22"/>
        <v>90 – 113</v>
      </c>
      <c r="O346" s="2">
        <v>4</v>
      </c>
      <c r="P346" s="2"/>
      <c r="Q346" s="3" t="s">
        <v>989</v>
      </c>
      <c r="R346" s="2" t="s">
        <v>427</v>
      </c>
      <c r="S346" s="2">
        <v>60</v>
      </c>
      <c r="T346" s="2">
        <f t="shared" si="23"/>
        <v>113</v>
      </c>
      <c r="U346" s="2"/>
      <c r="V346" s="2"/>
    </row>
    <row r="347" spans="1:22" hidden="1" x14ac:dyDescent="0.25">
      <c r="A347" s="6">
        <v>346</v>
      </c>
      <c r="B347" s="7" t="s">
        <v>990</v>
      </c>
      <c r="C347" s="6"/>
      <c r="D347" s="6"/>
      <c r="E347" s="6"/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0"/>
        <v>102</v>
      </c>
      <c r="M347" s="6">
        <f t="shared" si="21"/>
        <v>192</v>
      </c>
      <c r="N347" s="6" t="str">
        <f t="shared" si="22"/>
        <v>154 – 192</v>
      </c>
      <c r="O347" s="6">
        <v>5</v>
      </c>
      <c r="P347" s="6"/>
      <c r="Q347" s="7" t="s">
        <v>991</v>
      </c>
      <c r="R347" s="6" t="s">
        <v>992</v>
      </c>
      <c r="S347" s="6">
        <v>80</v>
      </c>
      <c r="T347" s="6">
        <f t="shared" si="23"/>
        <v>192</v>
      </c>
      <c r="U347" s="6">
        <v>345</v>
      </c>
      <c r="V347" s="6"/>
    </row>
    <row r="348" spans="1:22" hidden="1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0"/>
        <v>50</v>
      </c>
      <c r="M348" s="2">
        <f t="shared" si="21"/>
        <v>47</v>
      </c>
      <c r="N348" s="2" t="str">
        <f t="shared" si="22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hidden="1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0"/>
        <v>90</v>
      </c>
      <c r="M349" s="6">
        <f t="shared" si="21"/>
        <v>143</v>
      </c>
      <c r="N349" s="6" t="str">
        <f t="shared" si="22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hidden="1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0"/>
        <v>37.5</v>
      </c>
      <c r="M350" s="2">
        <f t="shared" si="21"/>
        <v>24</v>
      </c>
      <c r="N350" s="2" t="str">
        <f t="shared" si="22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hidden="1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0"/>
        <v>102</v>
      </c>
      <c r="M351" s="6">
        <f t="shared" si="21"/>
        <v>211</v>
      </c>
      <c r="N351" s="6" t="str">
        <f t="shared" si="22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hidden="1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0"/>
        <v>70</v>
      </c>
      <c r="M352" s="2">
        <f t="shared" si="21"/>
        <v>97</v>
      </c>
      <c r="N352" s="2" t="str">
        <f t="shared" si="22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hidden="1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0"/>
        <v>95</v>
      </c>
      <c r="M353" s="6">
        <f t="shared" si="21"/>
        <v>126</v>
      </c>
      <c r="N353" s="6" t="str">
        <f t="shared" si="22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hidden="1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0"/>
        <v>34</v>
      </c>
      <c r="M354" s="2">
        <f t="shared" si="21"/>
        <v>32</v>
      </c>
      <c r="N354" s="2" t="str">
        <f t="shared" si="22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hidden="1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0"/>
        <v>64</v>
      </c>
      <c r="M355" s="6">
        <f t="shared" si="21"/>
        <v>81</v>
      </c>
      <c r="N355" s="6" t="str">
        <f t="shared" si="22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hidden="1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0"/>
        <v>90</v>
      </c>
      <c r="M356" s="2">
        <f t="shared" si="21"/>
        <v>49</v>
      </c>
      <c r="N356" s="2" t="str">
        <f t="shared" si="22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hidden="1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0"/>
        <v>130</v>
      </c>
      <c r="M357" s="6">
        <f t="shared" si="21"/>
        <v>134</v>
      </c>
      <c r="N357" s="6" t="str">
        <f t="shared" si="22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hidden="1" x14ac:dyDescent="0.25">
      <c r="A358" s="2">
        <v>357</v>
      </c>
      <c r="B358" s="3" t="s">
        <v>1020</v>
      </c>
      <c r="C358" s="2"/>
      <c r="D358" s="2"/>
      <c r="E358" s="2"/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0"/>
        <v>85</v>
      </c>
      <c r="M358" s="2">
        <f t="shared" si="21"/>
        <v>170</v>
      </c>
      <c r="N358" s="2" t="str">
        <f t="shared" si="22"/>
        <v>136 – 170</v>
      </c>
      <c r="O358" s="2">
        <v>6</v>
      </c>
      <c r="P358" s="2"/>
      <c r="Q358" s="3" t="s">
        <v>1021</v>
      </c>
      <c r="R358" s="2" t="s">
        <v>1022</v>
      </c>
      <c r="S358" s="2">
        <v>120</v>
      </c>
      <c r="T358" s="2">
        <f t="shared" si="23"/>
        <v>170</v>
      </c>
      <c r="U358" s="2"/>
      <c r="V358" s="2"/>
    </row>
    <row r="359" spans="1:22" hidden="1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0"/>
        <v>85</v>
      </c>
      <c r="M359" s="6">
        <f t="shared" si="21"/>
        <v>133</v>
      </c>
      <c r="N359" s="6" t="str">
        <f t="shared" si="22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hidden="1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0"/>
        <v>60</v>
      </c>
      <c r="M360" s="2">
        <f t="shared" si="21"/>
        <v>75</v>
      </c>
      <c r="N360" s="2" t="str">
        <f t="shared" si="22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hidden="1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0"/>
        <v>48</v>
      </c>
      <c r="M361" s="6">
        <f t="shared" si="21"/>
        <v>78</v>
      </c>
      <c r="N361" s="6" t="str">
        <f t="shared" si="22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hidden="1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0"/>
        <v>50</v>
      </c>
      <c r="M362" s="2">
        <f t="shared" si="21"/>
        <v>50</v>
      </c>
      <c r="N362" s="2" t="str">
        <f t="shared" si="22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hidden="1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0"/>
        <v>80</v>
      </c>
      <c r="M363" s="6">
        <f t="shared" si="21"/>
        <v>129</v>
      </c>
      <c r="N363" s="6" t="str">
        <f t="shared" si="22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hidden="1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0"/>
        <v>50</v>
      </c>
      <c r="M364" s="2">
        <f t="shared" si="21"/>
        <v>64</v>
      </c>
      <c r="N364" s="2" t="str">
        <f t="shared" si="22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hidden="1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0"/>
        <v>70</v>
      </c>
      <c r="M365" s="6">
        <f t="shared" si="21"/>
        <v>120</v>
      </c>
      <c r="N365" s="6" t="str">
        <f t="shared" si="22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hidden="1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0"/>
        <v>90</v>
      </c>
      <c r="M366" s="2">
        <f t="shared" si="21"/>
        <v>203</v>
      </c>
      <c r="N366" s="2" t="str">
        <f t="shared" si="22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hidden="1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0"/>
        <v>70</v>
      </c>
      <c r="M367" s="6">
        <f t="shared" si="21"/>
        <v>56</v>
      </c>
      <c r="N367" s="6" t="str">
        <f t="shared" si="22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hidden="1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0"/>
        <v>90</v>
      </c>
      <c r="M368" s="2">
        <f t="shared" si="21"/>
        <v>109</v>
      </c>
      <c r="N368" s="2" t="str">
        <f t="shared" si="22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hidden="1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0"/>
        <v>90</v>
      </c>
      <c r="M369" s="6">
        <f t="shared" si="21"/>
        <v>109</v>
      </c>
      <c r="N369" s="6" t="str">
        <f t="shared" si="22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hidden="1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0"/>
        <v>97.5</v>
      </c>
      <c r="M370" s="2">
        <f t="shared" si="21"/>
        <v>208</v>
      </c>
      <c r="N370" s="2" t="str">
        <f t="shared" si="22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hidden="1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0"/>
        <v>60</v>
      </c>
      <c r="M371" s="6">
        <f t="shared" si="21"/>
        <v>55</v>
      </c>
      <c r="N371" s="6" t="str">
        <f t="shared" si="22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hidden="1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0"/>
        <v>45</v>
      </c>
      <c r="M372" s="2">
        <f t="shared" si="21"/>
        <v>42</v>
      </c>
      <c r="N372" s="2" t="str">
        <f t="shared" si="22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hidden="1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0"/>
        <v>75</v>
      </c>
      <c r="M373" s="6">
        <f t="shared" si="21"/>
        <v>99</v>
      </c>
      <c r="N373" s="6" t="str">
        <f t="shared" si="22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hidden="1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0"/>
        <v>80</v>
      </c>
      <c r="M374" s="2">
        <f t="shared" si="21"/>
        <v>151</v>
      </c>
      <c r="N374" s="2" t="str">
        <f t="shared" si="22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hidden="1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0"/>
        <v>70</v>
      </c>
      <c r="M375" s="6">
        <f t="shared" si="21"/>
        <v>62</v>
      </c>
      <c r="N375" s="6" t="str">
        <f t="shared" si="22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hidden="1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0"/>
        <v>90</v>
      </c>
      <c r="M376" s="2">
        <f t="shared" si="21"/>
        <v>117</v>
      </c>
      <c r="N376" s="2" t="str">
        <f t="shared" si="22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hidden="1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0"/>
        <v>110</v>
      </c>
      <c r="M377" s="6">
        <f t="shared" si="21"/>
        <v>200</v>
      </c>
      <c r="N377" s="6" t="str">
        <f t="shared" si="22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hidden="1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0"/>
        <v>150</v>
      </c>
      <c r="M378" s="2">
        <f t="shared" si="21"/>
        <v>309</v>
      </c>
      <c r="N378" s="2" t="str">
        <f t="shared" si="22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hidden="1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0"/>
        <v>150</v>
      </c>
      <c r="M379" s="6">
        <f t="shared" si="21"/>
        <v>309</v>
      </c>
      <c r="N379" s="6" t="str">
        <f t="shared" si="22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hidden="1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0"/>
        <v>150</v>
      </c>
      <c r="M380" s="2">
        <f t="shared" si="21"/>
        <v>309</v>
      </c>
      <c r="N380" s="2" t="str">
        <f t="shared" si="22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hidden="1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0"/>
        <v>110</v>
      </c>
      <c r="M381" s="6">
        <f t="shared" si="21"/>
        <v>200</v>
      </c>
      <c r="N381" s="6" t="str">
        <f t="shared" si="22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hidden="1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0"/>
        <v>95</v>
      </c>
      <c r="M382" s="2">
        <f t="shared" si="21"/>
        <v>163</v>
      </c>
      <c r="N382" s="2" t="str">
        <f t="shared" si="22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hidden="1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0"/>
        <v>115</v>
      </c>
      <c r="M383" s="6">
        <f t="shared" si="21"/>
        <v>262</v>
      </c>
      <c r="N383" s="6" t="str">
        <f t="shared" si="22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hidden="1" x14ac:dyDescent="0.25">
      <c r="A384" s="2">
        <v>383</v>
      </c>
      <c r="B384" s="3" t="s">
        <v>1087</v>
      </c>
      <c r="C384" s="2"/>
      <c r="D384" s="2"/>
      <c r="E384" s="2"/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0"/>
        <v>115</v>
      </c>
      <c r="M384" s="2">
        <f t="shared" si="21"/>
        <v>262</v>
      </c>
      <c r="N384" s="2" t="str">
        <f t="shared" si="22"/>
        <v>210 – 262</v>
      </c>
      <c r="O384" s="2">
        <v>6</v>
      </c>
      <c r="P384" s="2"/>
      <c r="Q384" s="3" t="s">
        <v>1088</v>
      </c>
      <c r="R384" s="2" t="s">
        <v>1089</v>
      </c>
      <c r="S384" s="2">
        <v>120</v>
      </c>
      <c r="T384" s="2">
        <f t="shared" si="23"/>
        <v>262</v>
      </c>
      <c r="U384" s="2"/>
      <c r="V384" s="2"/>
    </row>
    <row r="385" spans="1:22" hidden="1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0"/>
        <v>90</v>
      </c>
      <c r="M385" s="6">
        <f t="shared" si="21"/>
        <v>194</v>
      </c>
      <c r="N385" s="6" t="str">
        <f t="shared" si="22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hidden="1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4">AVERAGE(J386,K386)</f>
        <v>100</v>
      </c>
      <c r="M386" s="2">
        <f t="shared" ref="M386:M387" si="25">ROUND(H386*POWER(L386,1.5)/500+15,0)</f>
        <v>215</v>
      </c>
      <c r="N386" s="2" t="str">
        <f t="shared" ref="N386:N387" si="26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hidden="1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4"/>
        <v>50</v>
      </c>
      <c r="M387" s="6">
        <f t="shared" si="25"/>
        <v>50</v>
      </c>
      <c r="N387" s="6" t="str">
        <f t="shared" si="26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</sheetData>
  <autoFilter ref="A1:T387" xr:uid="{00000000-0001-0000-0000-000000000000}">
    <filterColumn colId="14">
      <filters>
        <filter val="1"/>
      </filters>
    </filterColumn>
  </autoFilter>
  <sortState xmlns:xlrd2="http://schemas.microsoft.com/office/spreadsheetml/2017/richdata2" ref="A2:V387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G12"/>
  <sheetViews>
    <sheetView workbookViewId="0">
      <selection activeCell="G14" sqref="G14"/>
    </sheetView>
  </sheetViews>
  <sheetFormatPr defaultRowHeight="15" x14ac:dyDescent="0.25"/>
  <sheetData>
    <row r="2" spans="1:7" x14ac:dyDescent="0.25"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</row>
    <row r="3" spans="1:7" x14ac:dyDescent="0.25">
      <c r="A3" t="s">
        <v>1102</v>
      </c>
      <c r="B3">
        <f>COUNTIFS('Gen1 Pokédex'!F:F,"Grass",'Gen1 Pokédex'!O:O,1)</f>
        <v>3</v>
      </c>
      <c r="C3">
        <f>COUNTIFS('Gen1 Pokédex'!F:F,"Fire",'Gen1 Pokédex'!O:O,1)</f>
        <v>3</v>
      </c>
      <c r="D3">
        <f>COUNTIFS('Gen1 Pokédex'!F:F,"Water",'Gen1 Pokédex'!O:O,1)</f>
        <v>3</v>
      </c>
      <c r="E3" t="e">
        <f>COUNTIFS('Gen1 Pokédex'!#REF!,"Flying",'Gen1 Pokédex'!O:O,1)</f>
        <v>#REF!</v>
      </c>
      <c r="F3">
        <f>COUNTIFS('Gen1 Pokédex'!F:F,"Electric",'Gen1 Pokédex'!O:O,1)</f>
        <v>0</v>
      </c>
    </row>
    <row r="4" spans="1:7" x14ac:dyDescent="0.25">
      <c r="A4" t="s">
        <v>1103</v>
      </c>
      <c r="B4">
        <f>COUNTIFS('Gen1 Pokédex'!F:F,"Grass",'Gen1 Pokédex'!O:O,2)</f>
        <v>4</v>
      </c>
      <c r="C4">
        <f>COUNTIFS('Gen1 Pokédex'!F:F,"Fire",'Gen1 Pokédex'!O:O,2)</f>
        <v>4</v>
      </c>
      <c r="D4">
        <f>COUNTIFS('Gen1 Pokédex'!F:F,"Water",'Gen1 Pokédex'!O:O,2)</f>
        <v>4</v>
      </c>
      <c r="E4" t="e">
        <f>COUNTIFS('Gen1 Pokédex'!#REF!,"Flying",'Gen1 Pokédex'!O:O,2)</f>
        <v>#REF!</v>
      </c>
      <c r="F4">
        <f>COUNTIFS('Gen1 Pokédex'!F:F,"Electric",'Gen1 Pokédex'!O:O,2)</f>
        <v>3</v>
      </c>
    </row>
    <row r="5" spans="1:7" x14ac:dyDescent="0.25">
      <c r="A5" t="s">
        <v>1104</v>
      </c>
      <c r="B5">
        <f>COUNTIFS('Gen1 Pokédex'!F:F,"Grass",'Gen1 Pokédex'!O:O,3)</f>
        <v>5</v>
      </c>
      <c r="C5">
        <f>COUNTIFS('Gen1 Pokédex'!F:F,"Fire",'Gen1 Pokédex'!O:O,3)</f>
        <v>5</v>
      </c>
      <c r="D5">
        <f>COUNTIFS('Gen1 Pokédex'!F:F,"Water",'Gen1 Pokédex'!O:O,3)</f>
        <v>5</v>
      </c>
      <c r="E5" t="e">
        <f>COUNTIFS('Gen1 Pokédex'!#REF!,"Flying",'Gen1 Pokédex'!O:O,3)</f>
        <v>#REF!</v>
      </c>
      <c r="F5">
        <f>COUNTIFS('Gen1 Pokédex'!F:F,"Electric",'Gen1 Pokédex'!O:O,3)</f>
        <v>5</v>
      </c>
    </row>
    <row r="6" spans="1:7" x14ac:dyDescent="0.25">
      <c r="A6" t="s">
        <v>1105</v>
      </c>
      <c r="B6">
        <f>COUNTIFS('Gen1 Pokédex'!F:F,"Grass",'Gen1 Pokédex'!O:O,4)</f>
        <v>4</v>
      </c>
      <c r="C6">
        <v>4</v>
      </c>
      <c r="D6">
        <f>COUNTIFS('Gen1 Pokédex'!F:F,"Water",'Gen1 Pokédex'!O:O,4)</f>
        <v>5</v>
      </c>
      <c r="E6" t="e">
        <f>COUNTIFS('Gen1 Pokédex'!#REF!,"Flying",'Gen1 Pokédex'!O:O,4)</f>
        <v>#REF!</v>
      </c>
      <c r="F6">
        <f>COUNTIFS('Gen1 Pokédex'!F:F,"Electric",'Gen1 Pokédex'!O:O,4)</f>
        <v>5</v>
      </c>
    </row>
    <row r="7" spans="1:7" x14ac:dyDescent="0.25">
      <c r="A7" t="s">
        <v>1106</v>
      </c>
      <c r="B7">
        <f>COUNTIFS('Gen1 Pokédex'!F:F,"Grass",'Gen1 Pokédex'!O:O,5)</f>
        <v>3</v>
      </c>
      <c r="C7">
        <v>5</v>
      </c>
      <c r="D7">
        <f>COUNTIFS('Gen1 Pokédex'!F:F,"Water",'Gen1 Pokédex'!O:O,5)</f>
        <v>3</v>
      </c>
      <c r="E7" t="e">
        <f>COUNTIFS('Gen1 Pokédex'!#REF!,"Flying",'Gen1 Pokédex'!O:O,5)</f>
        <v>#REF!</v>
      </c>
      <c r="F7">
        <f>COUNTIFS('Gen1 Pokédex'!F:F,"Electric",'Gen1 Pokédex'!O:O,5)</f>
        <v>4</v>
      </c>
    </row>
    <row r="8" spans="1:7" x14ac:dyDescent="0.25">
      <c r="A8" t="s">
        <v>1107</v>
      </c>
      <c r="B8">
        <f>COUNTIFS('Gen1 Pokédex'!F:F,"Grass",'Gen1 Pokédex'!O:O,6)</f>
        <v>4</v>
      </c>
      <c r="C8">
        <f>COUNTIFS('Gen1 Pokédex'!F:F,"Fire",'Gen1 Pokédex'!O:O,6)</f>
        <v>3</v>
      </c>
      <c r="D8">
        <f>COUNTIFS('Gen1 Pokédex'!F:F,"Water",'Gen1 Pokédex'!O:O,6)</f>
        <v>3</v>
      </c>
      <c r="E8" t="e">
        <f>COUNTIFS('Gen1 Pokédex'!#REF!,"Flying",'Gen1 Pokédex'!O:O,6)</f>
        <v>#REF!</v>
      </c>
      <c r="F8">
        <f>COUNTIFS('Gen1 Pokédex'!F:F,"Electric",'Gen1 Pokédex'!O:O,6)</f>
        <v>2</v>
      </c>
    </row>
    <row r="10" spans="1:7" x14ac:dyDescent="0.25">
      <c r="A10" s="24" t="s">
        <v>1109</v>
      </c>
      <c r="B10">
        <f>SUM(B3:B8)</f>
        <v>23</v>
      </c>
      <c r="C10">
        <f>SUM(C3:C8)</f>
        <v>24</v>
      </c>
      <c r="D10">
        <f>SUM(D3:D8)</f>
        <v>23</v>
      </c>
      <c r="E10" t="e">
        <f t="shared" ref="E10:G10" si="0">SUM(E3:E8)</f>
        <v>#REF!</v>
      </c>
      <c r="F10">
        <f t="shared" si="0"/>
        <v>19</v>
      </c>
      <c r="G10">
        <f t="shared" si="0"/>
        <v>0</v>
      </c>
    </row>
    <row r="12" spans="1:7" x14ac:dyDescent="0.25">
      <c r="A12" t="s">
        <v>1110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2026-04-07T20:25:51Z</dcterms:modified>
</cp:coreProperties>
</file>