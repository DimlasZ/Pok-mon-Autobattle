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84E7C9C8-0E20-4420-A405-6E9120D871F9}" xr6:coauthVersionLast="47" xr6:coauthVersionMax="47" xr10:uidLastSave="{00000000-0000-0000-0000-000000000000}"/>
  <bookViews>
    <workbookView xWindow="0" yWindow="0" windowWidth="38700" windowHeight="15345" xr2:uid="{00000000-000D-0000-FFFF-FFFF00000000}"/>
  </bookViews>
  <sheets>
    <sheet name="Ability" sheetId="3" r:id="rId1"/>
    <sheet name="commands" sheetId="2" r:id="rId2"/>
  </sheets>
  <definedNames>
    <definedName name="_xlnm._FilterDatabase" localSheetId="0" hidden="1">Ability!$A$1:$Q$387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7" i="3" l="1"/>
  <c r="J40" i="3"/>
  <c r="J84" i="3"/>
  <c r="J83" i="3"/>
  <c r="J82" i="3"/>
  <c r="J81" i="3"/>
  <c r="J80" i="3"/>
  <c r="J79" i="3"/>
  <c r="J78" i="3"/>
  <c r="J77" i="3"/>
  <c r="J76" i="3"/>
  <c r="J75" i="3"/>
  <c r="J74" i="3"/>
  <c r="J70" i="3"/>
  <c r="J57" i="3"/>
  <c r="J54" i="3"/>
  <c r="J52" i="3"/>
  <c r="J49" i="3"/>
  <c r="J48" i="3"/>
  <c r="J46" i="3"/>
  <c r="J42" i="3"/>
  <c r="J38" i="3"/>
  <c r="J37" i="3"/>
  <c r="J28" i="3"/>
  <c r="J26" i="3"/>
  <c r="J25" i="3"/>
  <c r="J23" i="3"/>
  <c r="J22" i="3"/>
  <c r="J20" i="3"/>
  <c r="J19" i="3"/>
  <c r="J18" i="3"/>
  <c r="J17" i="3"/>
  <c r="J14" i="3"/>
  <c r="J13" i="3"/>
  <c r="J11" i="3"/>
  <c r="J9" i="3"/>
  <c r="J8" i="3"/>
  <c r="J4" i="3"/>
  <c r="J3" i="3"/>
</calcChain>
</file>

<file path=xl/sharedStrings.xml><?xml version="1.0" encoding="utf-8"?>
<sst xmlns="http://schemas.openxmlformats.org/spreadsheetml/2006/main" count="543" uniqueCount="228">
  <si>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</si>
  <si>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</si>
  <si>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</si>
  <si>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</si>
  <si>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</si>
  <si>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</si>
  <si>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</si>
  <si>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</si>
  <si>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</si>
  <si>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Once at the very start of the battle, before anyone attacks</t>
  </si>
  <si>
    <t>on_round_start</t>
  </si>
  <si>
    <t>At the start of each attack round (every time the turn order resets)</t>
  </si>
  <si>
    <t>before_attack</t>
  </si>
  <si>
    <t>Just before this Pokemon deals damage</t>
  </si>
  <si>
    <t>on_attack</t>
  </si>
  <si>
    <t>When this Pokemon deals damage (has access to actual damage dealt)</t>
  </si>
  <si>
    <t>after_attack</t>
  </si>
  <si>
    <t>After this Pokemon's attack resolves</t>
  </si>
  <si>
    <t>before_hit</t>
  </si>
  <si>
    <t>Just before this Pokemon receives damage</t>
  </si>
  <si>
    <t>on_hit</t>
  </si>
  <si>
    <t>When this Pokemon takes damage</t>
  </si>
  <si>
    <t>after_hit</t>
  </si>
  <si>
    <t>After this Pokemon takes damage</t>
  </si>
  <si>
    <t>on_faint</t>
  </si>
  <si>
    <t>When this Pokemon faints</t>
  </si>
  <si>
    <t>on_ally_faint</t>
  </si>
  <si>
    <t>When any ally faints</t>
  </si>
  <si>
    <t>on_kill</t>
  </si>
  <si>
    <t>When this Pokemon's attack knocks out an enemy</t>
  </si>
  <si>
    <t>passive</t>
  </si>
  <si>
    <t>Always active, no trigger needed (flat stat modifier)</t>
  </si>
  <si>
    <t>damage_multiplier</t>
  </si>
  <si>
    <t>Multiply damage dealt by Value</t>
  </si>
  <si>
    <t>damage_reduction</t>
  </si>
  <si>
    <t>Multiply damage received by Value (0.5 = take half)</t>
  </si>
  <si>
    <t>heal_self</t>
  </si>
  <si>
    <t>Restore Value% of own max HP</t>
  </si>
  <si>
    <t>boost_attack</t>
  </si>
  <si>
    <t>Multiply own attack by Value</t>
  </si>
  <si>
    <t>boost_speed</t>
  </si>
  <si>
    <t>Multiply own speed by Value</t>
  </si>
  <si>
    <t>boost_attack_enemy</t>
  </si>
  <si>
    <t>Multiply target's attack by Value (use 0.8 for Intimidate)</t>
  </si>
  <si>
    <t>boost_speed_enemy</t>
  </si>
  <si>
    <t>Multiply target's speed by Value</t>
  </si>
  <si>
    <t>damage_all_enemies</t>
  </si>
  <si>
    <t>Deal flat Value damage to all enemies</t>
  </si>
  <si>
    <t>heal_all_allies</t>
  </si>
  <si>
    <t>Restore Value% of max HP to all allies</t>
  </si>
  <si>
    <t>boost_attack_all_allies</t>
  </si>
  <si>
    <t>Multiply all allies' attack by Value</t>
  </si>
  <si>
    <t>survive_ko</t>
  </si>
  <si>
    <t>Survive a hit that would KO you, stay at 1 HP</t>
  </si>
  <si>
    <t>recoil_damage</t>
  </si>
  <si>
    <t>Attacker takes Value% of damage dealt back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</si>
  <si>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</si>
  <si>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</si>
  <si>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</si>
  <si>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</si>
  <si>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</si>
  <si>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</si>
  <si>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</si>
  <si>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</si>
  <si>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</si>
  <si>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</si>
  <si>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</si>
  <si>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</si>
  <si>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</si>
  <si>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</si>
  <si>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</si>
  <si>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</si>
  <si>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</si>
  <si>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</si>
  <si>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</si>
  <si>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</si>
  <si>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</si>
  <si>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</si>
  <si>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</si>
  <si>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</si>
  <si>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swap_enemies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</si>
  <si>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</si>
  <si>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</si>
  <si>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</si>
  <si>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</si>
  <si>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</si>
  <si>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</si>
  <si>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</si>
  <si>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</si>
  <si>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</si>
  <si>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Drought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</si>
  <si>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</si>
  <si>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</si>
  <si>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</si>
  <si>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</si>
  <si>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</si>
  <si>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</si>
  <si>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</si>
  <si>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</si>
  <si>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</si>
  <si>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</si>
  <si>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</si>
  <si>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</si>
  <si>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</si>
  <si>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</si>
  <si>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</si>
  <si>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</si>
  <si>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</si>
  <si>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</si>
  <si>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</si>
  <si>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Guts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</si>
  <si>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</si>
  <si>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</si>
  <si>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</si>
  <si>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</si>
  <si>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</si>
  <si>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</si>
  <si>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</si>
  <si>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</si>
  <si>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</si>
  <si>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</si>
  <si>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</si>
  <si>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</si>
  <si>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</si>
  <si>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</si>
  <si>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Hyper Cutter</t>
  </si>
  <si>
    <t>Overgrow</t>
  </si>
  <si>
    <t>Rain Dish</t>
  </si>
  <si>
    <t>Rock Head</t>
  </si>
  <si>
    <t>Ground</t>
  </si>
  <si>
    <t>Swift Swim</t>
  </si>
  <si>
    <t>Torrent</t>
  </si>
  <si>
    <t>Technician</t>
  </si>
  <si>
    <t>Bullet Seed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</si>
  <si>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</si>
  <si>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</si>
  <si>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</si>
  <si>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</si>
  <si>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</si>
  <si>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</si>
  <si>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</si>
  <si>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</si>
  <si>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</si>
  <si>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</si>
  <si>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</si>
  <si>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Rain Dance</t>
  </si>
  <si>
    <t>Scald</t>
  </si>
  <si>
    <t>Water Sport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</si>
  <si>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</si>
  <si>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</si>
  <si>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</si>
  <si>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</si>
  <si>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</si>
  <si>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</si>
  <si>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</si>
  <si>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</si>
  <si>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</si>
  <si>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</si>
  <si>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Summons rain on entry.</t>
  </si>
  <si>
    <t>Summons harsh sunlight on entry.</t>
  </si>
  <si>
    <t>attacker</t>
  </si>
  <si>
    <t>on_contact</t>
  </si>
  <si>
    <t>immune_to_debuff</t>
  </si>
  <si>
    <t>Attack cannot be lowered by opponents.</t>
  </si>
  <si>
    <t>enemy_front</t>
  </si>
  <si>
    <t>reduce_attack</t>
  </si>
  <si>
    <t>immune</t>
  </si>
  <si>
    <t>Immune to Ground-type moves.</t>
  </si>
  <si>
    <t>Immune to ability damage.</t>
  </si>
  <si>
    <t>Summons a sandstorm on entry.</t>
  </si>
  <si>
    <t>Survives any one-hit KO with 1 HP remaining.</t>
  </si>
  <si>
    <t>deal_damage</t>
  </si>
  <si>
    <t>Emergency Exit</t>
  </si>
  <si>
    <t>move_to_last</t>
  </si>
  <si>
    <t>Boosts Attack by 50% during a sandstorm.</t>
  </si>
  <si>
    <t>Raises Speed by 10% for each ally that fainted this combat.</t>
  </si>
  <si>
    <t>Raises Attack by 50% after knocking out an enemy.</t>
  </si>
  <si>
    <t>Mold Breaker</t>
  </si>
  <si>
    <t>ignore_abilities</t>
  </si>
  <si>
    <t>Magic Guard</t>
  </si>
  <si>
    <t>Cannot be damaged by ability effects.</t>
  </si>
  <si>
    <t>ally_all</t>
  </si>
  <si>
    <t>survived_hit</t>
  </si>
  <si>
    <t>When hit and surviving, raises all allies' Attack by 20%.</t>
  </si>
  <si>
    <t>Gooey</t>
  </si>
  <si>
    <t>reduce_speed</t>
  </si>
  <si>
    <t>Raises Attack by 20% after each attack.</t>
  </si>
  <si>
    <t>enemy_next</t>
  </si>
  <si>
    <t>eruption</t>
  </si>
  <si>
    <t>Power scales with user's remaining HP.</t>
  </si>
  <si>
    <t>enemy_all</t>
  </si>
  <si>
    <t>Deals damage; splashes to adjacent enemies.</t>
  </si>
  <si>
    <t>Sets harsh sunlight.</t>
  </si>
  <si>
    <t>priority</t>
  </si>
  <si>
    <t>May lower the opponent's Speed.</t>
  </si>
  <si>
    <t>Sets rain.</t>
  </si>
  <si>
    <t>Weak Armor</t>
  </si>
  <si>
    <t>Speed doubles when hit by a super-effective attack.</t>
  </si>
  <si>
    <t>Can fully negate one incoming hit.</t>
  </si>
  <si>
    <t>Strikes all enemies when attacking.</t>
  </si>
  <si>
    <t>Damages the next enemy in line on attack.</t>
  </si>
  <si>
    <t>Blasts all enemies with a powerful surge on attack.</t>
  </si>
  <si>
    <t>Immune to damage caused by abilities.</t>
  </si>
  <si>
    <t>Light Screen</t>
  </si>
  <si>
    <t>Deploys a protective screen at battle start.</t>
  </si>
  <si>
    <t>all_others</t>
  </si>
  <si>
    <t>overflow_damage</t>
  </si>
  <si>
    <t>Excess damage carries over to the next enemy.</t>
  </si>
  <si>
    <t>Damages all enemies at the start of battle.</t>
  </si>
  <si>
    <t>Shuffles enemy positions at battle start.</t>
  </si>
  <si>
    <t>Attacks always ignore damage reduction.</t>
  </si>
  <si>
    <t>all</t>
  </si>
  <si>
    <t>Damages all units upon fainting.</t>
  </si>
  <si>
    <t>Scorches all enemies on attack.</t>
  </si>
  <si>
    <t>enemy_last</t>
  </si>
  <si>
    <t>serene_grace</t>
  </si>
  <si>
    <t>Strikes all adjacent Pokémon.</t>
  </si>
  <si>
    <t>Damages all other Pokémon on attack.</t>
  </si>
  <si>
    <t>In rain, also damages adjacent Pokémon.</t>
  </si>
  <si>
    <t>Damages the last Pokémon in line on attack.</t>
  </si>
  <si>
    <t>Power Up</t>
  </si>
  <si>
    <t>Target Dummy</t>
  </si>
  <si>
    <t>Rollout</t>
  </si>
  <si>
    <t>Sand Rush</t>
  </si>
  <si>
    <t>Sand veil</t>
  </si>
  <si>
    <t xml:space="preserve">boost_attack_once </t>
  </si>
  <si>
    <t>heal</t>
  </si>
  <si>
    <t>leech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</si>
</sst>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P387"/>
  <sheetViews>
    <sheetView tabSelected="1" zoomScaleNormal="100" workbookViewId="0">
      <selection activeCell="H12" sqref="H12"/>
    </sheetView>
  </sheetViews>
  <sheetFormatPr defaultColWidth="15.7109375" defaultRowHeight="15" x14ac:dyDescent="0.25"/>
  <cols>
    <col min="1" max="1" width="5.42578125" style="12" bestFit="1" customWidth="1"/>
    <col min="2" max="2" width="15.85546875" style="12" bestFit="1" customWidth="1"/>
    <col min="3" max="3" width="15.140625" style="12" bestFit="1" customWidth="1"/>
    <col min="4" max="4" width="12.5703125" style="12" bestFit="1" customWidth="1"/>
    <col min="5" max="5" width="27" style="12" bestFit="1" customWidth="1"/>
    <col min="6" max="6" width="12.28515625" style="12" bestFit="1" customWidth="1"/>
    <col min="7" max="7" width="19.85546875" style="12" bestFit="1" customWidth="1"/>
    <col min="8" max="8" width="11" style="12" bestFit="1" customWidth="1"/>
    <col min="9" max="9" width="14" style="12" bestFit="1" customWidth="1"/>
    <col min="10" max="10" width="61.28515625" style="12" bestFit="1" customWidth="1"/>
    <col min="11" max="11" width="10.5703125" bestFit="1" customWidth="1"/>
  </cols>
  <sheetData>
    <row r="1" spans="1:16" ht="22.15" customHeight="1" x14ac:dyDescent="0.25">
      <c r="A1" s="11" t="s">
        <v>0</v>
      </c>
      <c r="B1" s="11" t="s">
        <v>1</v>
      </c>
      <c r="C1" s="11" t="s">
        <v>3</v>
      </c>
      <c r="D1" s="11" t="s">
        <v>148</v>
      </c>
      <c r="E1" s="11" t="s">
        <v>4</v>
      </c>
      <c r="F1" s="11" t="s">
        <v>5</v>
      </c>
      <c r="G1" s="11" t="s">
        <v>6</v>
      </c>
      <c r="H1" s="11" t="s">
        <v>149</v>
      </c>
      <c r="I1" s="11" t="s">
        <v>150</v>
      </c>
      <c r="J1" s="11" t="s">
        <v>2</v>
      </c>
      <c r="K1" s="3" t="s">
        <v>151</v>
      </c>
      <c r="L1" s="3"/>
      <c r="M1" s="3"/>
      <c r="N1" s="3"/>
      <c r="O1" s="3"/>
      <c r="P1" s="3"/>
    </row>
    <row r="2" spans="1:16" x14ac:dyDescent="0.25">
      <c r="A2" s="2">
        <v>1</v>
      </c>
      <c r="B2" s="2" t="s">
        <v>75</v>
      </c>
      <c r="C2" s="2" t="s">
        <v>30</v>
      </c>
      <c r="D2" s="2" t="s">
        <v>152</v>
      </c>
      <c r="E2" s="2" t="s">
        <v>34</v>
      </c>
      <c r="F2" s="2">
        <v>0.67</v>
      </c>
      <c r="G2" s="2" t="s">
        <v>153</v>
      </c>
      <c r="H2" s="2"/>
      <c r="I2" s="2"/>
      <c r="J2" s="2" t="s">
        <v>154</v>
      </c>
      <c r="K2" s="9" t="s">
        <v>124</v>
      </c>
    </row>
    <row r="3" spans="1:16" x14ac:dyDescent="0.25">
      <c r="A3" s="1">
        <v>2</v>
      </c>
      <c r="B3" s="1" t="s">
        <v>108</v>
      </c>
      <c r="C3" s="1" t="s">
        <v>20</v>
      </c>
      <c r="D3" s="1" t="s">
        <v>152</v>
      </c>
      <c r="E3" s="1" t="s">
        <v>225</v>
      </c>
      <c r="F3" s="1">
        <v>1.25</v>
      </c>
      <c r="G3" s="1" t="s">
        <v>155</v>
      </c>
      <c r="H3" s="1"/>
      <c r="I3" s="1"/>
      <c r="J3" s="1" t="str">
        <f>"Boosts attacks by "&amp;TEXT((F3-1)*100,"0")&amp;"% when below 40% HP."</f>
        <v>Boosts attacks by 25% when below 40% HP.</v>
      </c>
      <c r="K3" s="5" t="s">
        <v>119</v>
      </c>
    </row>
    <row r="4" spans="1:16" x14ac:dyDescent="0.25">
      <c r="A4" s="2">
        <v>3</v>
      </c>
      <c r="B4" s="2" t="s">
        <v>78</v>
      </c>
      <c r="C4" s="2" t="s">
        <v>30</v>
      </c>
      <c r="D4" s="2" t="s">
        <v>152</v>
      </c>
      <c r="E4" s="2" t="s">
        <v>40</v>
      </c>
      <c r="F4" s="2">
        <v>2</v>
      </c>
      <c r="G4" s="2" t="s">
        <v>79</v>
      </c>
      <c r="H4" s="2"/>
      <c r="I4" s="2"/>
      <c r="J4" s="2" t="str">
        <f>IF(F4=2,"Doubles Speed","Boosts Speed by "&amp;TEXT((F4-1)*100,"0")&amp;"% ")&amp;"in harsh sunlight."</f>
        <v>Doubles Speedin harsh sunlight.</v>
      </c>
      <c r="K4" s="4" t="s">
        <v>118</v>
      </c>
    </row>
    <row r="5" spans="1:16" x14ac:dyDescent="0.25">
      <c r="A5" s="1">
        <v>4</v>
      </c>
      <c r="B5" s="1" t="s">
        <v>117</v>
      </c>
      <c r="C5" s="1" t="s">
        <v>30</v>
      </c>
      <c r="D5" s="1" t="s">
        <v>152</v>
      </c>
      <c r="E5" s="1" t="s">
        <v>156</v>
      </c>
      <c r="F5" s="1"/>
      <c r="G5" s="1"/>
      <c r="H5" s="1"/>
      <c r="I5" s="1"/>
      <c r="J5" s="1" t="s">
        <v>157</v>
      </c>
      <c r="K5" s="9" t="s">
        <v>124</v>
      </c>
    </row>
    <row r="6" spans="1:16" x14ac:dyDescent="0.25">
      <c r="A6" s="2">
        <v>5</v>
      </c>
      <c r="B6" s="2" t="s">
        <v>63</v>
      </c>
      <c r="C6" s="2" t="s">
        <v>8</v>
      </c>
      <c r="D6" s="2" t="s">
        <v>152</v>
      </c>
      <c r="E6" s="2" t="s">
        <v>64</v>
      </c>
      <c r="F6" s="2" t="s">
        <v>65</v>
      </c>
      <c r="G6" s="2"/>
      <c r="H6" s="2"/>
      <c r="I6" s="2"/>
      <c r="J6" s="2" t="s">
        <v>158</v>
      </c>
      <c r="K6" s="6" t="s">
        <v>120</v>
      </c>
    </row>
    <row r="7" spans="1:16" x14ac:dyDescent="0.25">
      <c r="A7" s="1">
        <v>6</v>
      </c>
      <c r="B7" s="1" t="s">
        <v>90</v>
      </c>
      <c r="C7" s="1" t="s">
        <v>8</v>
      </c>
      <c r="D7" s="1" t="s">
        <v>152</v>
      </c>
      <c r="E7" s="1" t="s">
        <v>64</v>
      </c>
      <c r="F7" s="1" t="s">
        <v>91</v>
      </c>
      <c r="G7" s="1"/>
      <c r="H7" s="1"/>
      <c r="I7" s="1"/>
      <c r="J7" s="1" t="s">
        <v>159</v>
      </c>
      <c r="K7" s="5" t="s">
        <v>119</v>
      </c>
    </row>
    <row r="8" spans="1:16" x14ac:dyDescent="0.25">
      <c r="A8" s="2">
        <v>7</v>
      </c>
      <c r="B8" s="2" t="s">
        <v>123</v>
      </c>
      <c r="C8" s="2" t="s">
        <v>20</v>
      </c>
      <c r="D8" s="2" t="s">
        <v>160</v>
      </c>
      <c r="E8" s="2" t="s">
        <v>165</v>
      </c>
      <c r="F8" s="2">
        <v>0.8</v>
      </c>
      <c r="G8" s="2" t="s">
        <v>161</v>
      </c>
      <c r="H8" s="2"/>
      <c r="I8" s="2"/>
      <c r="J8" s="2" t="str">
        <f>"Attacker loses "&amp;TEXT((1-F8)*100,"0")&amp;"% of attack damage after hitting the user."</f>
        <v>Attacker loses 20% of attack damage after hitting the user.</v>
      </c>
      <c r="K8" s="5" t="s">
        <v>119</v>
      </c>
    </row>
    <row r="9" spans="1:16" x14ac:dyDescent="0.25">
      <c r="A9" s="1">
        <v>8</v>
      </c>
      <c r="B9" s="1" t="s">
        <v>102</v>
      </c>
      <c r="C9" s="1" t="s">
        <v>30</v>
      </c>
      <c r="D9" s="1" t="s">
        <v>152</v>
      </c>
      <c r="E9" s="1" t="s">
        <v>38</v>
      </c>
      <c r="F9" s="1">
        <v>2</v>
      </c>
      <c r="G9" s="1"/>
      <c r="H9" s="1"/>
      <c r="I9" s="1"/>
      <c r="J9" s="1" t="str">
        <f>IF(F9=2,"Doubles the Pokémon's Attack stat.","Raises the Pokémon's Attack by "&amp;TEXT((F9-1)*100,"0")&amp;"%.")</f>
        <v>Doubles the Pokémon's Attack stat.</v>
      </c>
      <c r="K9" s="9" t="s">
        <v>124</v>
      </c>
    </row>
    <row r="10" spans="1:16" x14ac:dyDescent="0.25">
      <c r="A10" s="2">
        <v>9</v>
      </c>
      <c r="B10" s="2" t="s">
        <v>125</v>
      </c>
      <c r="C10" s="2" t="s">
        <v>30</v>
      </c>
      <c r="D10" s="2" t="s">
        <v>152</v>
      </c>
      <c r="E10" s="2" t="s">
        <v>162</v>
      </c>
      <c r="F10" s="2"/>
      <c r="G10" s="2"/>
      <c r="H10" s="2"/>
      <c r="I10" s="2"/>
      <c r="J10" s="2" t="s">
        <v>163</v>
      </c>
      <c r="K10" s="9" t="s">
        <v>124</v>
      </c>
    </row>
    <row r="11" spans="1:16" x14ac:dyDescent="0.25">
      <c r="A11" s="1">
        <v>10</v>
      </c>
      <c r="B11" s="1" t="s">
        <v>71</v>
      </c>
      <c r="C11" s="1" t="s">
        <v>8</v>
      </c>
      <c r="D11" s="1" t="s">
        <v>164</v>
      </c>
      <c r="E11" s="1" t="s">
        <v>165</v>
      </c>
      <c r="F11" s="1">
        <v>0.7</v>
      </c>
      <c r="G11" s="1"/>
      <c r="H11" s="1"/>
      <c r="I11" s="1"/>
      <c r="J11" s="1" t="str">
        <f>"Lowers the attack damage of the first enemy Pokémon by "&amp;TEXT((1-F11)*100,"0")&amp;"%."</f>
        <v>Lowers the attack damage of the first enemy Pokémon by 30%.</v>
      </c>
      <c r="K11" s="9" t="s">
        <v>124</v>
      </c>
    </row>
    <row r="12" spans="1:16" x14ac:dyDescent="0.25">
      <c r="A12" s="2">
        <v>11</v>
      </c>
      <c r="B12" s="2" t="s">
        <v>104</v>
      </c>
      <c r="C12" s="2" t="s">
        <v>30</v>
      </c>
      <c r="D12" s="2" t="s">
        <v>152</v>
      </c>
      <c r="E12" s="2" t="s">
        <v>166</v>
      </c>
      <c r="F12" s="2"/>
      <c r="G12" s="2" t="s">
        <v>129</v>
      </c>
      <c r="H12" s="2"/>
      <c r="I12" s="2"/>
      <c r="J12" s="2" t="s">
        <v>167</v>
      </c>
      <c r="K12" s="9" t="s">
        <v>124</v>
      </c>
    </row>
    <row r="13" spans="1:16" x14ac:dyDescent="0.25">
      <c r="A13" s="1">
        <v>12</v>
      </c>
      <c r="B13" s="1" t="s">
        <v>126</v>
      </c>
      <c r="C13" s="1" t="s">
        <v>20</v>
      </c>
      <c r="D13" s="1" t="s">
        <v>152</v>
      </c>
      <c r="E13" s="1" t="s">
        <v>225</v>
      </c>
      <c r="F13" s="1">
        <v>1.25</v>
      </c>
      <c r="G13" s="1" t="s">
        <v>155</v>
      </c>
      <c r="H13" s="1"/>
      <c r="I13" s="1"/>
      <c r="J13" s="1" t="str">
        <f>"Boosts attacks by "&amp;TEXT((F13-1)*100,"0")&amp;"% when below 40% HP."</f>
        <v>Boosts attacks by 25% when below 40% HP.</v>
      </c>
      <c r="K13" s="4" t="s">
        <v>118</v>
      </c>
    </row>
    <row r="14" spans="1:16" x14ac:dyDescent="0.25">
      <c r="A14" s="2">
        <v>13</v>
      </c>
      <c r="B14" s="2" t="s">
        <v>127</v>
      </c>
      <c r="C14" s="2" t="s">
        <v>10</v>
      </c>
      <c r="D14" s="2" t="s">
        <v>152</v>
      </c>
      <c r="E14" s="2" t="s">
        <v>226</v>
      </c>
      <c r="F14" s="2">
        <v>0.3</v>
      </c>
      <c r="G14" s="2" t="s">
        <v>87</v>
      </c>
      <c r="H14" s="2"/>
      <c r="I14" s="2"/>
      <c r="J14" s="2" t="str">
        <f>"Restores "&amp;TEXT(F14*100,"0")&amp;"% of HP after each turn in rain."</f>
        <v>Restores 30% of HP after each turn in rain.</v>
      </c>
      <c r="K14" s="6" t="s">
        <v>120</v>
      </c>
    </row>
    <row r="15" spans="1:16" x14ac:dyDescent="0.25">
      <c r="A15" s="1">
        <v>14</v>
      </c>
      <c r="B15" s="1" t="s">
        <v>128</v>
      </c>
      <c r="C15" s="1" t="s">
        <v>30</v>
      </c>
      <c r="D15" s="1" t="s">
        <v>152</v>
      </c>
      <c r="E15" s="1" t="s">
        <v>70</v>
      </c>
      <c r="F15" s="1"/>
      <c r="G15" s="1"/>
      <c r="H15" s="1"/>
      <c r="I15" s="1"/>
      <c r="J15" s="1" t="s">
        <v>168</v>
      </c>
      <c r="K15" s="10" t="s">
        <v>129</v>
      </c>
    </row>
    <row r="16" spans="1:16" x14ac:dyDescent="0.25">
      <c r="A16" s="2">
        <v>15</v>
      </c>
      <c r="B16" s="2" t="s">
        <v>100</v>
      </c>
      <c r="C16" s="2" t="s">
        <v>8</v>
      </c>
      <c r="D16" s="2" t="s">
        <v>152</v>
      </c>
      <c r="E16" s="2" t="s">
        <v>64</v>
      </c>
      <c r="F16" s="2" t="s">
        <v>101</v>
      </c>
      <c r="G16" s="2"/>
      <c r="H16" s="2"/>
      <c r="I16" s="2"/>
      <c r="J16" s="2" t="s">
        <v>169</v>
      </c>
      <c r="K16" s="10" t="s">
        <v>129</v>
      </c>
    </row>
    <row r="17" spans="1:11" x14ac:dyDescent="0.25">
      <c r="A17" s="1">
        <v>16</v>
      </c>
      <c r="B17" s="1" t="s">
        <v>99</v>
      </c>
      <c r="C17" s="1" t="s">
        <v>10</v>
      </c>
      <c r="D17" s="1" t="s">
        <v>152</v>
      </c>
      <c r="E17" s="1" t="s">
        <v>40</v>
      </c>
      <c r="F17" s="1">
        <v>1.05</v>
      </c>
      <c r="G17" s="1"/>
      <c r="H17" s="1"/>
      <c r="I17" s="1"/>
      <c r="J17" s="1" t="str">
        <f>"Increases Speed by "&amp;TEXT((F17-1)*100,"0")&amp;"% after each round."</f>
        <v>Increases Speed by 5% after each round.</v>
      </c>
      <c r="K17" s="9" t="s">
        <v>124</v>
      </c>
    </row>
    <row r="18" spans="1:11" x14ac:dyDescent="0.25">
      <c r="A18" s="2">
        <v>17</v>
      </c>
      <c r="B18" s="2" t="s">
        <v>130</v>
      </c>
      <c r="C18" s="2" t="s">
        <v>30</v>
      </c>
      <c r="D18" s="2" t="s">
        <v>152</v>
      </c>
      <c r="E18" s="2" t="s">
        <v>40</v>
      </c>
      <c r="F18" s="2">
        <v>2</v>
      </c>
      <c r="G18" s="2" t="s">
        <v>87</v>
      </c>
      <c r="H18" s="2"/>
      <c r="I18" s="2"/>
      <c r="J18" s="2" t="str">
        <f>IF(F18=2,"Doubles Speed","Boosts Speed by "&amp;TEXT((F18-1)*100,"0")&amp;"% ")&amp;"in rain."</f>
        <v>Doubles Speedin rain.</v>
      </c>
      <c r="K18" s="6" t="s">
        <v>120</v>
      </c>
    </row>
    <row r="19" spans="1:11" x14ac:dyDescent="0.25">
      <c r="A19" s="1">
        <v>18</v>
      </c>
      <c r="B19" s="1" t="s">
        <v>131</v>
      </c>
      <c r="C19" s="1" t="s">
        <v>20</v>
      </c>
      <c r="D19" s="1" t="s">
        <v>152</v>
      </c>
      <c r="E19" s="1" t="s">
        <v>225</v>
      </c>
      <c r="F19" s="1">
        <v>1.25</v>
      </c>
      <c r="G19" s="1" t="s">
        <v>155</v>
      </c>
      <c r="H19" s="1"/>
      <c r="I19" s="1"/>
      <c r="J19" s="1" t="str">
        <f>"Boosts attacks by "&amp;TEXT((F19-1)*100,"0")&amp;"% when below 40% HP."</f>
        <v>Boosts attacks by 25% when below 40% HP.</v>
      </c>
      <c r="K19" s="6" t="s">
        <v>120</v>
      </c>
    </row>
    <row r="20" spans="1:11" x14ac:dyDescent="0.25">
      <c r="A20" s="2">
        <v>19</v>
      </c>
      <c r="B20" s="2" t="s">
        <v>105</v>
      </c>
      <c r="C20" s="2" t="s">
        <v>30</v>
      </c>
      <c r="D20" s="2" t="s">
        <v>152</v>
      </c>
      <c r="E20" s="2" t="s">
        <v>34</v>
      </c>
      <c r="F20" s="2">
        <v>0.75</v>
      </c>
      <c r="G20" s="2" t="s">
        <v>153</v>
      </c>
      <c r="H20" s="2"/>
      <c r="I20" s="2"/>
      <c r="J20" s="2" t="str">
        <f>"Reduces super-effective damage by "&amp;TEXT((1-F20)*100,"0")&amp;"%."</f>
        <v>Reduces super-effective damage by 25%.</v>
      </c>
      <c r="K20" s="9" t="s">
        <v>124</v>
      </c>
    </row>
    <row r="21" spans="1:11" x14ac:dyDescent="0.25">
      <c r="A21" s="1">
        <v>20</v>
      </c>
      <c r="B21" s="1" t="s">
        <v>76</v>
      </c>
      <c r="C21" s="1" t="s">
        <v>20</v>
      </c>
      <c r="D21" s="1" t="s">
        <v>152</v>
      </c>
      <c r="E21" s="1" t="s">
        <v>52</v>
      </c>
      <c r="F21" s="1"/>
      <c r="G21" s="1"/>
      <c r="H21" s="1"/>
      <c r="I21" s="1"/>
      <c r="J21" s="1" t="s">
        <v>170</v>
      </c>
      <c r="K21" s="9" t="s">
        <v>124</v>
      </c>
    </row>
    <row r="22" spans="1:11" x14ac:dyDescent="0.25">
      <c r="A22" s="2">
        <v>21</v>
      </c>
      <c r="B22" s="2" t="s">
        <v>132</v>
      </c>
      <c r="C22" s="2" t="s">
        <v>12</v>
      </c>
      <c r="D22" s="2" t="s">
        <v>152</v>
      </c>
      <c r="E22" s="2"/>
      <c r="F22" s="2">
        <v>1.5</v>
      </c>
      <c r="G22" s="2"/>
      <c r="H22" s="2"/>
      <c r="I22" s="2"/>
      <c r="J22" s="2" t="str">
        <f>"Boosts moves with power &lt;=60 by "&amp;TEXT((F22-1)*100,"0")&amp;"%."</f>
        <v>Boosts moves with power &lt;=60 by 50%.</v>
      </c>
      <c r="K22" s="9" t="s">
        <v>124</v>
      </c>
    </row>
    <row r="23" spans="1:11" x14ac:dyDescent="0.25">
      <c r="A23" s="1">
        <v>22</v>
      </c>
      <c r="B23" s="1" t="s">
        <v>7</v>
      </c>
      <c r="C23" s="1" t="s">
        <v>16</v>
      </c>
      <c r="D23" s="1" t="s">
        <v>152</v>
      </c>
      <c r="E23" s="1" t="s">
        <v>226</v>
      </c>
      <c r="F23" s="1">
        <v>5</v>
      </c>
      <c r="G23" s="1"/>
      <c r="H23" s="1"/>
      <c r="I23" s="1"/>
      <c r="J23" s="1" t="str">
        <f>"User recovers "&amp;F23&amp;" HP after attacking."</f>
        <v>User recovers 5 HP after attacking.</v>
      </c>
      <c r="K23" s="4" t="s">
        <v>118</v>
      </c>
    </row>
    <row r="24" spans="1:11" x14ac:dyDescent="0.25">
      <c r="A24" s="2">
        <v>23</v>
      </c>
      <c r="B24" s="2" t="s">
        <v>133</v>
      </c>
      <c r="C24" s="2" t="s">
        <v>14</v>
      </c>
      <c r="D24" s="2" t="s">
        <v>164</v>
      </c>
      <c r="E24" s="2" t="s">
        <v>171</v>
      </c>
      <c r="F24" s="2"/>
      <c r="G24" s="2"/>
      <c r="H24" s="2"/>
      <c r="I24" s="2"/>
      <c r="J24" s="2"/>
      <c r="K24" s="4" t="s">
        <v>118</v>
      </c>
    </row>
    <row r="25" spans="1:11" x14ac:dyDescent="0.25">
      <c r="A25" s="1">
        <v>24</v>
      </c>
      <c r="B25" s="1" t="s">
        <v>82</v>
      </c>
      <c r="C25" s="1" t="s">
        <v>16</v>
      </c>
      <c r="D25" s="1" t="s">
        <v>152</v>
      </c>
      <c r="E25" s="1" t="s">
        <v>226</v>
      </c>
      <c r="F25" s="1">
        <v>50</v>
      </c>
      <c r="G25" s="1"/>
      <c r="H25" s="1"/>
      <c r="I25" s="1"/>
      <c r="J25" s="1" t="str">
        <f>"User recovers "&amp;F25&amp;" HP after attacking."</f>
        <v>User recovers 50 HP after attacking.</v>
      </c>
      <c r="K25" s="4" t="s">
        <v>118</v>
      </c>
    </row>
    <row r="26" spans="1:11" x14ac:dyDescent="0.25">
      <c r="A26" s="2">
        <v>25</v>
      </c>
      <c r="B26" s="2" t="s">
        <v>134</v>
      </c>
      <c r="C26" s="2" t="s">
        <v>16</v>
      </c>
      <c r="D26" s="2" t="s">
        <v>152</v>
      </c>
      <c r="E26" s="2" t="s">
        <v>165</v>
      </c>
      <c r="F26" s="2">
        <v>0.5</v>
      </c>
      <c r="G26" s="2"/>
      <c r="H26" s="2"/>
      <c r="I26" s="2"/>
      <c r="J26" s="2" t="str">
        <f>"After attacking, the user loses "&amp;TEXT(F26*100,"0")&amp;"% of its Attack."</f>
        <v>After attacking, the user loses 50% of its Attack.</v>
      </c>
      <c r="K26" s="4" t="s">
        <v>118</v>
      </c>
    </row>
    <row r="27" spans="1:11" x14ac:dyDescent="0.25">
      <c r="A27" s="1">
        <v>26</v>
      </c>
      <c r="B27" s="1" t="s">
        <v>135</v>
      </c>
      <c r="C27" s="1" t="s">
        <v>16</v>
      </c>
      <c r="D27" s="1" t="s">
        <v>164</v>
      </c>
      <c r="E27" s="1" t="s">
        <v>227</v>
      </c>
      <c r="F27" s="1">
        <v>0.15</v>
      </c>
      <c r="G27" s="1"/>
      <c r="H27" s="1"/>
      <c r="I27" s="1"/>
      <c r="J27" s="1" t="str">
        <f>"Leeches "&amp;TEXT(F27*100,"0")&amp;"% of enemys max HP after attacking."</f>
        <v>Leeches 15% of enemys max HP after attacking.</v>
      </c>
      <c r="K27" s="4" t="s">
        <v>118</v>
      </c>
    </row>
    <row r="28" spans="1:11" x14ac:dyDescent="0.25">
      <c r="A28" s="2">
        <v>27</v>
      </c>
      <c r="B28" s="2" t="s">
        <v>77</v>
      </c>
      <c r="C28" s="2" t="s">
        <v>16</v>
      </c>
      <c r="D28" s="2" t="s">
        <v>152</v>
      </c>
      <c r="E28" s="2" t="s">
        <v>226</v>
      </c>
      <c r="F28" s="2">
        <v>25</v>
      </c>
      <c r="G28" s="2"/>
      <c r="H28" s="2"/>
      <c r="I28" s="2"/>
      <c r="J28" s="2" t="str">
        <f>"User recovers "&amp;F28&amp;" HP after attacking."</f>
        <v>User recovers 25 HP after attacking.</v>
      </c>
      <c r="K28" s="4" t="s">
        <v>118</v>
      </c>
    </row>
    <row r="29" spans="1:11" x14ac:dyDescent="0.25">
      <c r="A29" s="1">
        <v>28</v>
      </c>
      <c r="B29" s="1" t="s">
        <v>114</v>
      </c>
      <c r="C29" s="1" t="s">
        <v>10</v>
      </c>
      <c r="D29" s="1" t="s">
        <v>152</v>
      </c>
      <c r="E29" s="1" t="s">
        <v>38</v>
      </c>
      <c r="F29" s="1">
        <v>1.5</v>
      </c>
      <c r="G29" s="1" t="s">
        <v>79</v>
      </c>
      <c r="H29" s="1"/>
      <c r="I29" s="1"/>
      <c r="J29" s="1"/>
      <c r="K29" s="4" t="s">
        <v>118</v>
      </c>
    </row>
    <row r="30" spans="1:11" x14ac:dyDescent="0.25">
      <c r="A30" s="2">
        <v>29</v>
      </c>
      <c r="B30" s="2" t="s">
        <v>172</v>
      </c>
      <c r="C30" s="2" t="s">
        <v>20</v>
      </c>
      <c r="D30" s="2" t="s">
        <v>152</v>
      </c>
      <c r="E30" s="2" t="s">
        <v>173</v>
      </c>
      <c r="F30" s="2"/>
      <c r="G30" s="2" t="s">
        <v>111</v>
      </c>
      <c r="H30" s="2"/>
      <c r="I30" s="2"/>
      <c r="J30" s="2"/>
      <c r="K30" s="9" t="s">
        <v>124</v>
      </c>
    </row>
    <row r="31" spans="1:11" x14ac:dyDescent="0.25">
      <c r="A31" s="1">
        <v>30</v>
      </c>
      <c r="B31" s="1" t="s">
        <v>112</v>
      </c>
      <c r="C31" s="1" t="s">
        <v>30</v>
      </c>
      <c r="D31" s="1" t="s">
        <v>152</v>
      </c>
      <c r="E31" s="1" t="s">
        <v>38</v>
      </c>
      <c r="F31" s="1">
        <v>1.5</v>
      </c>
      <c r="G31" s="1" t="s">
        <v>113</v>
      </c>
      <c r="H31" s="1"/>
      <c r="I31" s="1"/>
      <c r="J31" s="1" t="s">
        <v>174</v>
      </c>
      <c r="K31" s="10" t="s">
        <v>129</v>
      </c>
    </row>
    <row r="32" spans="1:11" x14ac:dyDescent="0.25">
      <c r="A32" s="2">
        <v>31</v>
      </c>
      <c r="B32" s="2" t="s">
        <v>220</v>
      </c>
      <c r="C32" s="2" t="s">
        <v>26</v>
      </c>
      <c r="D32" s="2" t="s">
        <v>152</v>
      </c>
      <c r="E32" s="2" t="s">
        <v>40</v>
      </c>
      <c r="F32" s="2">
        <v>1.1000000000000001</v>
      </c>
      <c r="G32" s="2"/>
      <c r="H32" s="2"/>
      <c r="I32" s="2"/>
      <c r="J32" s="2" t="s">
        <v>175</v>
      </c>
      <c r="K32" s="9" t="s">
        <v>124</v>
      </c>
    </row>
    <row r="33" spans="1:11" x14ac:dyDescent="0.25">
      <c r="A33" s="1">
        <v>32</v>
      </c>
      <c r="B33" s="1" t="s">
        <v>98</v>
      </c>
      <c r="C33" s="1" t="s">
        <v>28</v>
      </c>
      <c r="D33" s="1" t="s">
        <v>152</v>
      </c>
      <c r="E33" s="1" t="s">
        <v>38</v>
      </c>
      <c r="F33" s="1">
        <v>1.5</v>
      </c>
      <c r="G33" s="1"/>
      <c r="H33" s="1"/>
      <c r="I33" s="1"/>
      <c r="J33" s="1" t="s">
        <v>176</v>
      </c>
      <c r="K33" s="9" t="s">
        <v>124</v>
      </c>
    </row>
    <row r="34" spans="1:11" x14ac:dyDescent="0.25">
      <c r="A34" s="2">
        <v>33</v>
      </c>
      <c r="B34" s="2" t="s">
        <v>177</v>
      </c>
      <c r="C34" s="2" t="s">
        <v>30</v>
      </c>
      <c r="D34" s="2" t="s">
        <v>152</v>
      </c>
      <c r="E34" s="2" t="s">
        <v>178</v>
      </c>
      <c r="F34" s="2"/>
      <c r="G34" s="2"/>
      <c r="H34" s="2"/>
      <c r="I34" s="2"/>
      <c r="J34" s="2"/>
      <c r="K34" s="10" t="s">
        <v>129</v>
      </c>
    </row>
    <row r="35" spans="1:11" x14ac:dyDescent="0.25">
      <c r="A35" s="1">
        <v>34</v>
      </c>
      <c r="B35" s="1" t="s">
        <v>179</v>
      </c>
      <c r="C35" s="1" t="s">
        <v>30</v>
      </c>
      <c r="D35" s="1" t="s">
        <v>152</v>
      </c>
      <c r="E35" s="1" t="s">
        <v>70</v>
      </c>
      <c r="F35" s="1"/>
      <c r="G35" s="1"/>
      <c r="H35" s="1"/>
      <c r="I35" s="1"/>
      <c r="J35" s="1" t="s">
        <v>180</v>
      </c>
      <c r="K35" s="9" t="s">
        <v>124</v>
      </c>
    </row>
    <row r="36" spans="1:11" x14ac:dyDescent="0.25">
      <c r="A36" s="2">
        <v>35</v>
      </c>
      <c r="B36" s="2" t="s">
        <v>221</v>
      </c>
      <c r="C36" s="2" t="s">
        <v>20</v>
      </c>
      <c r="D36" s="2" t="s">
        <v>181</v>
      </c>
      <c r="E36" s="2" t="s">
        <v>38</v>
      </c>
      <c r="F36" s="2">
        <v>1.2</v>
      </c>
      <c r="G36" s="2" t="s">
        <v>182</v>
      </c>
      <c r="H36" s="2"/>
      <c r="I36" s="2"/>
      <c r="J36" s="2" t="s">
        <v>183</v>
      </c>
      <c r="K36" s="9" t="s">
        <v>124</v>
      </c>
    </row>
    <row r="37" spans="1:11" x14ac:dyDescent="0.25">
      <c r="A37" s="1">
        <v>36</v>
      </c>
      <c r="B37" s="1" t="s">
        <v>184</v>
      </c>
      <c r="C37" s="1" t="s">
        <v>20</v>
      </c>
      <c r="D37" s="1" t="s">
        <v>160</v>
      </c>
      <c r="E37" s="1" t="s">
        <v>185</v>
      </c>
      <c r="F37" s="1">
        <v>0.8</v>
      </c>
      <c r="G37" s="1" t="s">
        <v>161</v>
      </c>
      <c r="H37" s="1"/>
      <c r="I37" s="1"/>
      <c r="J37" s="1" t="str">
        <f>"Reduces the attacker's Speed by "&amp;TEXT((1-F37)*100,"0")&amp;"% on contact."</f>
        <v>Reduces the attacker's Speed by 20% on contact.</v>
      </c>
      <c r="K37" s="9" t="s">
        <v>124</v>
      </c>
    </row>
    <row r="38" spans="1:11" x14ac:dyDescent="0.25">
      <c r="A38" s="2">
        <v>37</v>
      </c>
      <c r="B38" s="2" t="s">
        <v>115</v>
      </c>
      <c r="C38" s="2" t="s">
        <v>30</v>
      </c>
      <c r="D38" s="2" t="s">
        <v>181</v>
      </c>
      <c r="E38" s="2" t="s">
        <v>34</v>
      </c>
      <c r="F38" s="2">
        <v>0.9</v>
      </c>
      <c r="G38" s="2"/>
      <c r="H38" s="2"/>
      <c r="I38" s="2"/>
      <c r="J38" s="2" t="str">
        <f>"Reduces all allies' damage taken by "&amp;TEXT((1-F38)*100,"0")&amp;"% while active."</f>
        <v>Reduces all allies' damage taken by 10% while active.</v>
      </c>
      <c r="K38" s="9" t="s">
        <v>124</v>
      </c>
    </row>
    <row r="39" spans="1:11" x14ac:dyDescent="0.25">
      <c r="A39" s="1">
        <v>38</v>
      </c>
      <c r="B39" s="1" t="s">
        <v>222</v>
      </c>
      <c r="C39" s="1" t="s">
        <v>16</v>
      </c>
      <c r="D39" s="1" t="s">
        <v>152</v>
      </c>
      <c r="E39" s="1" t="s">
        <v>38</v>
      </c>
      <c r="F39" s="1">
        <v>1.2</v>
      </c>
      <c r="G39" s="1"/>
      <c r="H39" s="1"/>
      <c r="I39" s="1"/>
      <c r="J39" s="1" t="s">
        <v>186</v>
      </c>
      <c r="K39" s="10" t="s">
        <v>129</v>
      </c>
    </row>
    <row r="40" spans="1:11" x14ac:dyDescent="0.25">
      <c r="A40" s="2">
        <v>39</v>
      </c>
      <c r="B40" s="2" t="s">
        <v>88</v>
      </c>
      <c r="C40" s="2" t="s">
        <v>14</v>
      </c>
      <c r="D40" s="2" t="s">
        <v>187</v>
      </c>
      <c r="E40" s="2" t="s">
        <v>171</v>
      </c>
      <c r="F40" s="2">
        <v>10</v>
      </c>
      <c r="G40" s="2"/>
      <c r="H40" s="2"/>
      <c r="I40" s="2"/>
      <c r="J40" s="2" t="str">
        <f>"Deals "&amp;TEXT(F40,0)&amp;" Damage to the next enemy."</f>
        <v>Deals 10 Damage to the next enemy.</v>
      </c>
      <c r="K40" s="5" t="s">
        <v>119</v>
      </c>
    </row>
    <row r="41" spans="1:11" x14ac:dyDescent="0.25">
      <c r="A41" s="1">
        <v>40</v>
      </c>
      <c r="B41" s="1" t="s">
        <v>136</v>
      </c>
      <c r="C41" s="1" t="s">
        <v>12</v>
      </c>
      <c r="D41" s="1" t="s">
        <v>152</v>
      </c>
      <c r="E41" s="1"/>
      <c r="F41" s="1"/>
      <c r="G41" s="1"/>
      <c r="H41" s="1"/>
      <c r="I41" s="1" t="s">
        <v>188</v>
      </c>
      <c r="J41" s="1" t="s">
        <v>189</v>
      </c>
      <c r="K41" s="5" t="s">
        <v>119</v>
      </c>
    </row>
    <row r="42" spans="1:11" x14ac:dyDescent="0.25">
      <c r="A42" s="2">
        <v>41</v>
      </c>
      <c r="B42" s="2" t="s">
        <v>137</v>
      </c>
      <c r="C42" s="2" t="s">
        <v>16</v>
      </c>
      <c r="D42" s="2" t="s">
        <v>152</v>
      </c>
      <c r="E42" s="2" t="s">
        <v>40</v>
      </c>
      <c r="F42" s="2">
        <v>1.1000000000000001</v>
      </c>
      <c r="G42" s="2"/>
      <c r="H42" s="2"/>
      <c r="I42" s="2"/>
      <c r="J42" s="2" t="str">
        <f>"Increases the user's Speed by "&amp;TEXT((F42-1)*100,"0")&amp;"% after attacking."</f>
        <v>Increases the user's Speed by 10% after attacking.</v>
      </c>
      <c r="K42" s="5" t="s">
        <v>119</v>
      </c>
    </row>
    <row r="43" spans="1:11" x14ac:dyDescent="0.25">
      <c r="A43" s="1">
        <v>42</v>
      </c>
      <c r="B43" s="1" t="s">
        <v>92</v>
      </c>
      <c r="C43" s="1" t="s">
        <v>14</v>
      </c>
      <c r="D43" s="1" t="s">
        <v>190</v>
      </c>
      <c r="E43" s="1" t="s">
        <v>171</v>
      </c>
      <c r="F43" s="1"/>
      <c r="G43" s="1"/>
      <c r="H43" s="1"/>
      <c r="I43" s="1"/>
      <c r="J43" s="1" t="s">
        <v>191</v>
      </c>
      <c r="K43" s="5" t="s">
        <v>119</v>
      </c>
    </row>
    <row r="44" spans="1:11" x14ac:dyDescent="0.25">
      <c r="A44" s="2">
        <v>43</v>
      </c>
      <c r="B44" s="2" t="s">
        <v>138</v>
      </c>
      <c r="C44" s="2" t="s">
        <v>8</v>
      </c>
      <c r="D44" s="2" t="s">
        <v>152</v>
      </c>
      <c r="E44" s="2" t="s">
        <v>64</v>
      </c>
      <c r="F44" s="2" t="s">
        <v>91</v>
      </c>
      <c r="G44" s="2"/>
      <c r="H44" s="2"/>
      <c r="I44" s="2"/>
      <c r="J44" s="2" t="s">
        <v>192</v>
      </c>
      <c r="K44" s="5" t="s">
        <v>119</v>
      </c>
    </row>
    <row r="45" spans="1:11" x14ac:dyDescent="0.25">
      <c r="A45" s="1">
        <v>44</v>
      </c>
      <c r="B45" s="1" t="s">
        <v>139</v>
      </c>
      <c r="C45" s="1" t="s">
        <v>30</v>
      </c>
      <c r="D45" s="1" t="s">
        <v>152</v>
      </c>
      <c r="E45" s="1" t="s">
        <v>193</v>
      </c>
      <c r="F45" s="1"/>
      <c r="G45" s="1"/>
      <c r="H45" s="1"/>
      <c r="I45" s="1"/>
      <c r="J45" s="1"/>
      <c r="K45" s="6" t="s">
        <v>120</v>
      </c>
    </row>
    <row r="46" spans="1:11" x14ac:dyDescent="0.25">
      <c r="A46" s="2">
        <v>45</v>
      </c>
      <c r="B46" s="2" t="s">
        <v>140</v>
      </c>
      <c r="C46" s="2" t="s">
        <v>16</v>
      </c>
      <c r="D46" s="2" t="s">
        <v>152</v>
      </c>
      <c r="E46" s="2" t="s">
        <v>40</v>
      </c>
      <c r="F46" s="2">
        <v>1.1000000000000001</v>
      </c>
      <c r="G46" s="2"/>
      <c r="H46" s="2"/>
      <c r="I46" s="2"/>
      <c r="J46" s="2" t="str">
        <f>"Increases the user's Speed by "&amp;TEXT((F46-1)*100,"0")&amp;"% after attacking."</f>
        <v>Increases the user's Speed by 10% after attacking.</v>
      </c>
      <c r="K46" s="6" t="s">
        <v>120</v>
      </c>
    </row>
    <row r="47" spans="1:11" x14ac:dyDescent="0.25">
      <c r="A47" s="1">
        <v>46</v>
      </c>
      <c r="B47" s="1" t="s">
        <v>141</v>
      </c>
      <c r="C47" s="1" t="s">
        <v>14</v>
      </c>
      <c r="D47" s="1" t="s">
        <v>164</v>
      </c>
      <c r="E47" s="1" t="s">
        <v>185</v>
      </c>
      <c r="F47" s="1">
        <v>0.9</v>
      </c>
      <c r="G47" s="1"/>
      <c r="H47" s="1"/>
      <c r="I47" s="1"/>
      <c r="J47" s="1" t="s">
        <v>194</v>
      </c>
      <c r="K47" s="6" t="s">
        <v>120</v>
      </c>
    </row>
    <row r="48" spans="1:11" x14ac:dyDescent="0.25">
      <c r="A48" s="2">
        <v>47</v>
      </c>
      <c r="B48" s="2" t="s">
        <v>142</v>
      </c>
      <c r="C48" s="2" t="s">
        <v>14</v>
      </c>
      <c r="D48" s="2" t="s">
        <v>164</v>
      </c>
      <c r="E48" s="2" t="s">
        <v>185</v>
      </c>
      <c r="F48" s="2">
        <v>0.8</v>
      </c>
      <c r="G48" s="2"/>
      <c r="H48" s="2"/>
      <c r="I48" s="2"/>
      <c r="J48" s="2" t="str">
        <f>"Lowers the target's Speed by "&amp;TEXT((1-F48)*100,"0")&amp;"%."</f>
        <v>Lowers the target's Speed by 20%.</v>
      </c>
      <c r="K48" s="6" t="s">
        <v>120</v>
      </c>
    </row>
    <row r="49" spans="1:11" x14ac:dyDescent="0.25">
      <c r="A49" s="1">
        <v>48</v>
      </c>
      <c r="B49" s="1" t="s">
        <v>143</v>
      </c>
      <c r="C49" s="1" t="s">
        <v>14</v>
      </c>
      <c r="D49" s="1" t="s">
        <v>164</v>
      </c>
      <c r="E49" s="1" t="s">
        <v>165</v>
      </c>
      <c r="F49" s="1">
        <v>0.8</v>
      </c>
      <c r="G49" s="1"/>
      <c r="H49" s="1"/>
      <c r="I49" s="1"/>
      <c r="J49" s="1" t="str">
        <f>"Lowers the target's Attack by "&amp;TEXT((1-F49)*100,"0")&amp;"%."</f>
        <v>Lowers the target's Attack by 20%.</v>
      </c>
      <c r="K49" s="6" t="s">
        <v>120</v>
      </c>
    </row>
    <row r="50" spans="1:11" x14ac:dyDescent="0.25">
      <c r="A50" s="2">
        <v>49</v>
      </c>
      <c r="B50" s="2" t="s">
        <v>144</v>
      </c>
      <c r="C50" s="2" t="s">
        <v>14</v>
      </c>
      <c r="D50" s="2" t="s">
        <v>190</v>
      </c>
      <c r="E50" s="2" t="s">
        <v>171</v>
      </c>
      <c r="F50" s="2"/>
      <c r="G50" s="2"/>
      <c r="H50" s="2"/>
      <c r="I50" s="2"/>
      <c r="J50" s="2" t="s">
        <v>216</v>
      </c>
      <c r="K50" s="6" t="s">
        <v>120</v>
      </c>
    </row>
    <row r="51" spans="1:11" x14ac:dyDescent="0.25">
      <c r="A51" s="1">
        <v>50</v>
      </c>
      <c r="B51" s="1" t="s">
        <v>145</v>
      </c>
      <c r="C51" s="1" t="s">
        <v>8</v>
      </c>
      <c r="D51" s="1" t="s">
        <v>152</v>
      </c>
      <c r="E51" s="1" t="s">
        <v>64</v>
      </c>
      <c r="F51" s="1" t="s">
        <v>65</v>
      </c>
      <c r="G51" s="1"/>
      <c r="H51" s="1"/>
      <c r="I51" s="1"/>
      <c r="J51" s="1" t="s">
        <v>195</v>
      </c>
      <c r="K51" s="6" t="s">
        <v>120</v>
      </c>
    </row>
    <row r="52" spans="1:11" x14ac:dyDescent="0.25">
      <c r="A52" s="2">
        <v>51</v>
      </c>
      <c r="B52" s="2" t="s">
        <v>146</v>
      </c>
      <c r="C52" s="2" t="s">
        <v>14</v>
      </c>
      <c r="D52" s="2" t="s">
        <v>164</v>
      </c>
      <c r="E52" s="2" t="s">
        <v>165</v>
      </c>
      <c r="F52" s="2">
        <v>0.7</v>
      </c>
      <c r="G52" s="2"/>
      <c r="H52" s="2"/>
      <c r="I52" s="2"/>
      <c r="J52" s="2" t="str">
        <f>"Lowers the target's Attack by "&amp;TEXT((1-F52)*100,"0")&amp;"%."</f>
        <v>Lowers the target's Attack by 30%.</v>
      </c>
      <c r="K52" s="6" t="s">
        <v>120</v>
      </c>
    </row>
    <row r="53" spans="1:11" x14ac:dyDescent="0.25">
      <c r="A53" s="1">
        <v>52</v>
      </c>
      <c r="B53" s="1" t="s">
        <v>61</v>
      </c>
      <c r="C53" s="1" t="s">
        <v>14</v>
      </c>
      <c r="D53" s="1" t="s">
        <v>190</v>
      </c>
      <c r="E53" s="1" t="s">
        <v>171</v>
      </c>
      <c r="F53" s="1"/>
      <c r="G53" s="1"/>
      <c r="H53" s="1"/>
      <c r="I53" s="1"/>
      <c r="J53" s="1" t="s">
        <v>216</v>
      </c>
      <c r="K53" s="6" t="s">
        <v>120</v>
      </c>
    </row>
    <row r="54" spans="1:11" x14ac:dyDescent="0.25">
      <c r="A54" s="2">
        <v>53</v>
      </c>
      <c r="B54" s="2" t="s">
        <v>147</v>
      </c>
      <c r="C54" s="2" t="s">
        <v>30</v>
      </c>
      <c r="D54" s="2" t="s">
        <v>152</v>
      </c>
      <c r="E54" s="2" t="s">
        <v>34</v>
      </c>
      <c r="F54" s="2">
        <v>0.5</v>
      </c>
      <c r="G54" s="2"/>
      <c r="H54" s="2"/>
      <c r="I54" s="2"/>
      <c r="J54" s="2" t="str">
        <f>"Weakens Fire-type moves by "&amp;TEXT((1-F54)*100,"0")&amp;"%."</f>
        <v>Weakens Fire-type moves by 50%.</v>
      </c>
      <c r="K54" s="6" t="s">
        <v>120</v>
      </c>
    </row>
    <row r="55" spans="1:11" x14ac:dyDescent="0.25">
      <c r="A55" s="1">
        <v>54</v>
      </c>
      <c r="B55" s="1" t="s">
        <v>97</v>
      </c>
      <c r="C55" s="1" t="s">
        <v>14</v>
      </c>
      <c r="D55" s="1" t="s">
        <v>190</v>
      </c>
      <c r="E55" s="1" t="s">
        <v>171</v>
      </c>
      <c r="F55" s="1"/>
      <c r="G55" s="1"/>
      <c r="H55" s="1"/>
      <c r="I55" s="1"/>
      <c r="J55" s="1" t="s">
        <v>216</v>
      </c>
      <c r="K55" s="8" t="s">
        <v>122</v>
      </c>
    </row>
    <row r="56" spans="1:11" x14ac:dyDescent="0.25">
      <c r="A56" s="2">
        <v>55</v>
      </c>
      <c r="B56" s="2" t="s">
        <v>196</v>
      </c>
      <c r="C56" s="2" t="s">
        <v>20</v>
      </c>
      <c r="D56" s="2" t="s">
        <v>152</v>
      </c>
      <c r="E56" s="2" t="s">
        <v>40</v>
      </c>
      <c r="F56" s="2">
        <v>2</v>
      </c>
      <c r="G56" s="2" t="s">
        <v>153</v>
      </c>
      <c r="H56" s="2"/>
      <c r="I56" s="2"/>
      <c r="J56" s="2" t="s">
        <v>197</v>
      </c>
      <c r="K56" s="10" t="s">
        <v>129</v>
      </c>
    </row>
    <row r="57" spans="1:11" x14ac:dyDescent="0.25">
      <c r="A57" s="1">
        <v>56</v>
      </c>
      <c r="B57" s="1" t="s">
        <v>56</v>
      </c>
      <c r="C57" s="1" t="s">
        <v>30</v>
      </c>
      <c r="D57" s="1" t="s">
        <v>152</v>
      </c>
      <c r="E57" s="1" t="s">
        <v>57</v>
      </c>
      <c r="F57" s="1">
        <v>5</v>
      </c>
      <c r="G57" s="1"/>
      <c r="H57" s="1"/>
      <c r="I57" s="1"/>
      <c r="J57" s="1" t="str">
        <f>"Reduces all incoming damage by "&amp;F57&amp;"."</f>
        <v>Reduces all incoming damage by 5.</v>
      </c>
      <c r="K57" s="8" t="s">
        <v>122</v>
      </c>
    </row>
    <row r="58" spans="1:11" x14ac:dyDescent="0.25">
      <c r="A58" s="2">
        <v>57</v>
      </c>
      <c r="B58" s="2" t="s">
        <v>58</v>
      </c>
      <c r="C58" s="2" t="s">
        <v>18</v>
      </c>
      <c r="D58" s="2" t="s">
        <v>152</v>
      </c>
      <c r="E58" s="2" t="s">
        <v>59</v>
      </c>
      <c r="F58" s="2"/>
      <c r="G58" s="2" t="s">
        <v>60</v>
      </c>
      <c r="H58" s="2"/>
      <c r="I58" s="2"/>
      <c r="J58" s="2" t="s">
        <v>198</v>
      </c>
      <c r="K58" s="10" t="s">
        <v>129</v>
      </c>
    </row>
    <row r="59" spans="1:11" x14ac:dyDescent="0.25">
      <c r="A59" s="1">
        <v>58</v>
      </c>
      <c r="B59" s="1" t="s">
        <v>61</v>
      </c>
      <c r="C59" s="1" t="s">
        <v>14</v>
      </c>
      <c r="D59" s="1" t="s">
        <v>190</v>
      </c>
      <c r="E59" s="1" t="s">
        <v>171</v>
      </c>
      <c r="F59" s="1"/>
      <c r="G59" s="1"/>
      <c r="H59" s="1"/>
      <c r="I59" s="1"/>
      <c r="J59" s="1" t="s">
        <v>199</v>
      </c>
      <c r="K59" s="6" t="s">
        <v>120</v>
      </c>
    </row>
    <row r="60" spans="1:11" x14ac:dyDescent="0.25">
      <c r="A60" s="2">
        <v>59</v>
      </c>
      <c r="B60" s="2" t="s">
        <v>62</v>
      </c>
      <c r="C60" s="2" t="s">
        <v>14</v>
      </c>
      <c r="D60" s="2" t="s">
        <v>187</v>
      </c>
      <c r="E60" s="2" t="s">
        <v>171</v>
      </c>
      <c r="F60" s="2"/>
      <c r="G60" s="2"/>
      <c r="H60" s="2"/>
      <c r="I60" s="2"/>
      <c r="J60" s="2" t="s">
        <v>200</v>
      </c>
      <c r="K60" s="6" t="s">
        <v>120</v>
      </c>
    </row>
    <row r="61" spans="1:11" x14ac:dyDescent="0.25">
      <c r="A61" s="1">
        <v>60</v>
      </c>
      <c r="B61" s="1" t="s">
        <v>66</v>
      </c>
      <c r="C61" s="1" t="s">
        <v>14</v>
      </c>
      <c r="D61" s="1" t="s">
        <v>190</v>
      </c>
      <c r="E61" s="1" t="s">
        <v>171</v>
      </c>
      <c r="F61" s="1"/>
      <c r="G61" s="1"/>
      <c r="H61" s="1"/>
      <c r="I61" s="1"/>
      <c r="J61" s="1" t="s">
        <v>201</v>
      </c>
      <c r="K61" s="6" t="s">
        <v>120</v>
      </c>
    </row>
    <row r="62" spans="1:11" x14ac:dyDescent="0.25">
      <c r="A62" s="2">
        <v>61</v>
      </c>
      <c r="B62" s="2" t="s">
        <v>69</v>
      </c>
      <c r="C62" s="2" t="s">
        <v>30</v>
      </c>
      <c r="D62" s="2" t="s">
        <v>152</v>
      </c>
      <c r="E62" s="2" t="s">
        <v>70</v>
      </c>
      <c r="F62" s="2"/>
      <c r="G62" s="2"/>
      <c r="H62" s="2"/>
      <c r="I62" s="2"/>
      <c r="J62" s="2" t="s">
        <v>202</v>
      </c>
      <c r="K62" s="9" t="s">
        <v>124</v>
      </c>
    </row>
    <row r="63" spans="1:11" x14ac:dyDescent="0.25">
      <c r="A63" s="1">
        <v>62</v>
      </c>
      <c r="B63" s="1" t="s">
        <v>203</v>
      </c>
      <c r="C63" s="1" t="s">
        <v>8</v>
      </c>
      <c r="D63" s="1" t="s">
        <v>152</v>
      </c>
      <c r="E63" s="1" t="s">
        <v>67</v>
      </c>
      <c r="F63" s="1" t="s">
        <v>68</v>
      </c>
      <c r="G63" s="1"/>
      <c r="H63" s="1"/>
      <c r="I63" s="1"/>
      <c r="J63" s="1" t="s">
        <v>204</v>
      </c>
      <c r="K63" s="9" t="s">
        <v>124</v>
      </c>
    </row>
    <row r="64" spans="1:11" x14ac:dyDescent="0.25">
      <c r="A64" s="2">
        <v>63</v>
      </c>
      <c r="B64" s="2" t="s">
        <v>72</v>
      </c>
      <c r="C64" s="2" t="s">
        <v>14</v>
      </c>
      <c r="D64" s="2" t="s">
        <v>205</v>
      </c>
      <c r="E64" s="2" t="s">
        <v>171</v>
      </c>
      <c r="F64" s="2"/>
      <c r="G64" s="2"/>
      <c r="H64" s="2"/>
      <c r="I64" s="2"/>
      <c r="J64" s="2" t="s">
        <v>217</v>
      </c>
      <c r="K64" s="10" t="s">
        <v>129</v>
      </c>
    </row>
    <row r="65" spans="1:11" x14ac:dyDescent="0.25">
      <c r="A65" s="1">
        <v>64</v>
      </c>
      <c r="B65" s="1" t="s">
        <v>73</v>
      </c>
      <c r="C65" s="1" t="s">
        <v>14</v>
      </c>
      <c r="D65" s="1" t="s">
        <v>164</v>
      </c>
      <c r="E65" s="1" t="s">
        <v>206</v>
      </c>
      <c r="F65" s="1"/>
      <c r="G65" s="1"/>
      <c r="H65" s="1"/>
      <c r="I65" s="1"/>
      <c r="J65" s="1" t="s">
        <v>207</v>
      </c>
      <c r="K65" s="10" t="s">
        <v>129</v>
      </c>
    </row>
    <row r="66" spans="1:11" x14ac:dyDescent="0.25">
      <c r="A66" s="2">
        <v>65</v>
      </c>
      <c r="B66" s="2" t="s">
        <v>74</v>
      </c>
      <c r="C66" s="2" t="s">
        <v>8</v>
      </c>
      <c r="D66" s="2" t="s">
        <v>190</v>
      </c>
      <c r="E66" s="2" t="s">
        <v>171</v>
      </c>
      <c r="F66" s="2"/>
      <c r="G66" s="2"/>
      <c r="H66" s="2"/>
      <c r="I66" s="2"/>
      <c r="J66" s="2" t="s">
        <v>208</v>
      </c>
      <c r="K66" s="9" t="s">
        <v>124</v>
      </c>
    </row>
    <row r="67" spans="1:11" x14ac:dyDescent="0.25">
      <c r="A67" s="1">
        <v>66</v>
      </c>
      <c r="B67" s="1" t="s">
        <v>83</v>
      </c>
      <c r="C67" s="1" t="s">
        <v>8</v>
      </c>
      <c r="D67" s="1" t="s">
        <v>190</v>
      </c>
      <c r="E67" s="1" t="s">
        <v>80</v>
      </c>
      <c r="F67" s="1"/>
      <c r="G67" s="1" t="s">
        <v>81</v>
      </c>
      <c r="H67" s="1"/>
      <c r="I67" s="1"/>
      <c r="J67" s="1" t="s">
        <v>209</v>
      </c>
      <c r="K67" s="7" t="s">
        <v>121</v>
      </c>
    </row>
    <row r="68" spans="1:11" x14ac:dyDescent="0.25">
      <c r="A68" s="2">
        <v>67</v>
      </c>
      <c r="B68" s="2" t="s">
        <v>84</v>
      </c>
      <c r="C68" s="2" t="s">
        <v>30</v>
      </c>
      <c r="D68" s="2" t="s">
        <v>152</v>
      </c>
      <c r="E68" s="2" t="s">
        <v>85</v>
      </c>
      <c r="F68" s="2"/>
      <c r="G68" s="2"/>
      <c r="H68" s="2"/>
      <c r="I68" s="2"/>
      <c r="J68" s="2" t="s">
        <v>210</v>
      </c>
      <c r="K68" s="7" t="s">
        <v>121</v>
      </c>
    </row>
    <row r="69" spans="1:11" x14ac:dyDescent="0.25">
      <c r="A69" s="1">
        <v>68</v>
      </c>
      <c r="B69" s="1" t="s">
        <v>86</v>
      </c>
      <c r="C69" s="1" t="s">
        <v>14</v>
      </c>
      <c r="D69" s="1" t="s">
        <v>190</v>
      </c>
      <c r="E69" s="1" t="s">
        <v>171</v>
      </c>
      <c r="F69" s="1"/>
      <c r="G69" s="1" t="s">
        <v>87</v>
      </c>
      <c r="H69" s="1"/>
      <c r="I69" s="1"/>
      <c r="J69" s="1" t="s">
        <v>218</v>
      </c>
      <c r="K69" s="7" t="s">
        <v>121</v>
      </c>
    </row>
    <row r="70" spans="1:11" x14ac:dyDescent="0.25">
      <c r="A70" s="2">
        <v>69</v>
      </c>
      <c r="B70" s="2" t="s">
        <v>89</v>
      </c>
      <c r="C70" s="2" t="s">
        <v>16</v>
      </c>
      <c r="D70" s="2" t="s">
        <v>152</v>
      </c>
      <c r="E70" s="2" t="s">
        <v>226</v>
      </c>
      <c r="F70" s="2">
        <v>0.2</v>
      </c>
      <c r="G70" s="2"/>
      <c r="H70" s="2"/>
      <c r="I70" s="2"/>
      <c r="J70" s="2" t="str">
        <f>"Heals "&amp;TEXT(F70*100,"0")&amp;"% of max HP after each attack."</f>
        <v>Heals 20% of max HP after each attack.</v>
      </c>
      <c r="K70" s="7" t="s">
        <v>121</v>
      </c>
    </row>
    <row r="71" spans="1:11" x14ac:dyDescent="0.25">
      <c r="A71" s="1">
        <v>70</v>
      </c>
      <c r="B71" s="1" t="s">
        <v>95</v>
      </c>
      <c r="C71" s="1" t="s">
        <v>24</v>
      </c>
      <c r="D71" s="1" t="s">
        <v>211</v>
      </c>
      <c r="E71" s="1" t="s">
        <v>171</v>
      </c>
      <c r="F71" s="1"/>
      <c r="G71" s="1"/>
      <c r="H71" s="1"/>
      <c r="I71" s="1"/>
      <c r="J71" s="1" t="s">
        <v>212</v>
      </c>
      <c r="K71" s="9" t="s">
        <v>124</v>
      </c>
    </row>
    <row r="72" spans="1:11" x14ac:dyDescent="0.25">
      <c r="A72" s="2">
        <v>71</v>
      </c>
      <c r="B72" s="2" t="s">
        <v>93</v>
      </c>
      <c r="C72" s="2" t="s">
        <v>14</v>
      </c>
      <c r="D72" s="2" t="s">
        <v>190</v>
      </c>
      <c r="E72" s="2" t="s">
        <v>171</v>
      </c>
      <c r="F72" s="2"/>
      <c r="G72" s="2"/>
      <c r="H72" s="2"/>
      <c r="I72" s="2"/>
      <c r="J72" s="2" t="s">
        <v>213</v>
      </c>
      <c r="K72" s="5" t="s">
        <v>119</v>
      </c>
    </row>
    <row r="73" spans="1:11" x14ac:dyDescent="0.25">
      <c r="A73" s="1">
        <v>72</v>
      </c>
      <c r="B73" s="1" t="s">
        <v>94</v>
      </c>
      <c r="C73" s="1" t="s">
        <v>14</v>
      </c>
      <c r="D73" s="1" t="s">
        <v>214</v>
      </c>
      <c r="E73" s="1" t="s">
        <v>171</v>
      </c>
      <c r="F73" s="1"/>
      <c r="G73" s="1"/>
      <c r="H73" s="1"/>
      <c r="I73" s="1"/>
      <c r="J73" s="1" t="s">
        <v>219</v>
      </c>
      <c r="K73" s="5" t="s">
        <v>119</v>
      </c>
    </row>
    <row r="74" spans="1:11" x14ac:dyDescent="0.25">
      <c r="A74" s="2">
        <v>73</v>
      </c>
      <c r="B74" s="2" t="s">
        <v>109</v>
      </c>
      <c r="C74" s="2" t="s">
        <v>20</v>
      </c>
      <c r="D74" s="2" t="s">
        <v>160</v>
      </c>
      <c r="E74" s="2" t="s">
        <v>54</v>
      </c>
      <c r="F74" s="2">
        <v>0.1</v>
      </c>
      <c r="G74" s="2" t="s">
        <v>161</v>
      </c>
      <c r="H74" s="2"/>
      <c r="I74" s="2"/>
      <c r="J74" s="2" t="str">
        <f>"Deals "&amp;TEXT(F74*100,"0")&amp;"% of max HP back to any attacker on contact."</f>
        <v>Deals 10% of max HP back to any attacker on contact.</v>
      </c>
      <c r="K74" s="9" t="s">
        <v>124</v>
      </c>
    </row>
    <row r="75" spans="1:11" x14ac:dyDescent="0.25">
      <c r="A75" s="1">
        <v>74</v>
      </c>
      <c r="B75" s="1" t="s">
        <v>96</v>
      </c>
      <c r="C75" s="1" t="s">
        <v>8</v>
      </c>
      <c r="D75" s="1" t="s">
        <v>164</v>
      </c>
      <c r="E75" s="1" t="s">
        <v>185</v>
      </c>
      <c r="F75" s="1">
        <v>0.5</v>
      </c>
      <c r="G75" s="1"/>
      <c r="H75" s="1"/>
      <c r="I75" s="1"/>
      <c r="J75" s="1" t="str">
        <f>"Reduces an enemy's Speed by "&amp;TEXT((1-F75)*100,"0")&amp;"% at battle start."</f>
        <v>Reduces an enemy's Speed by 50% at battle start.</v>
      </c>
      <c r="K75" s="8" t="s">
        <v>122</v>
      </c>
    </row>
    <row r="76" spans="1:11" x14ac:dyDescent="0.25">
      <c r="A76" s="2">
        <v>75</v>
      </c>
      <c r="B76" s="2" t="s">
        <v>103</v>
      </c>
      <c r="C76" s="2" t="s">
        <v>30</v>
      </c>
      <c r="D76" s="2" t="s">
        <v>152</v>
      </c>
      <c r="E76" s="2" t="s">
        <v>34</v>
      </c>
      <c r="F76" s="2">
        <v>0.8</v>
      </c>
      <c r="G76" s="2"/>
      <c r="H76" s="2"/>
      <c r="I76" s="2"/>
      <c r="J76" s="2" t="str">
        <f>"Reduces all incoming damage by "&amp;TEXT((1-F76)*100,"0")&amp;"%."</f>
        <v>Reduces all incoming damage by 20%.</v>
      </c>
      <c r="K76" s="9" t="s">
        <v>124</v>
      </c>
    </row>
    <row r="77" spans="1:11" x14ac:dyDescent="0.25">
      <c r="A77" s="1">
        <v>76</v>
      </c>
      <c r="B77" s="1" t="s">
        <v>115</v>
      </c>
      <c r="C77" s="1" t="s">
        <v>30</v>
      </c>
      <c r="D77" s="1" t="s">
        <v>181</v>
      </c>
      <c r="E77" s="1" t="s">
        <v>34</v>
      </c>
      <c r="F77" s="1">
        <v>0.9</v>
      </c>
      <c r="G77" s="1"/>
      <c r="H77" s="1"/>
      <c r="I77" s="1"/>
      <c r="J77" s="1" t="str">
        <f>"Reduces damage taken by all allies by "&amp;TEXT((1-F77)*100,"0")&amp;"% while active."</f>
        <v>Reduces damage taken by all allies by 10% while active.</v>
      </c>
      <c r="K77" s="9" t="s">
        <v>124</v>
      </c>
    </row>
    <row r="78" spans="1:11" x14ac:dyDescent="0.25">
      <c r="A78" s="2">
        <v>77</v>
      </c>
      <c r="B78" s="2" t="s">
        <v>99</v>
      </c>
      <c r="C78" s="2" t="s">
        <v>10</v>
      </c>
      <c r="D78" s="2" t="s">
        <v>152</v>
      </c>
      <c r="E78" s="2" t="s">
        <v>40</v>
      </c>
      <c r="F78" s="2">
        <v>1.05</v>
      </c>
      <c r="G78" s="2"/>
      <c r="H78" s="2"/>
      <c r="I78" s="2"/>
      <c r="J78" s="2" t="str">
        <f>"Increases Speed by "&amp;TEXT((F78-1)*100,"0")&amp;"% after each round."</f>
        <v>Increases Speed by 5% after each round.</v>
      </c>
      <c r="K78" s="9" t="s">
        <v>124</v>
      </c>
    </row>
    <row r="79" spans="1:11" x14ac:dyDescent="0.25">
      <c r="A79" s="1">
        <v>78</v>
      </c>
      <c r="B79" s="1" t="s">
        <v>106</v>
      </c>
      <c r="C79" s="1" t="s">
        <v>30</v>
      </c>
      <c r="D79" s="1" t="s">
        <v>152</v>
      </c>
      <c r="E79" s="1" t="s">
        <v>107</v>
      </c>
      <c r="F79" s="1">
        <v>1.5</v>
      </c>
      <c r="G79" s="1"/>
      <c r="H79" s="1"/>
      <c r="I79" s="1" t="s">
        <v>215</v>
      </c>
      <c r="J79" s="1" t="str">
        <f>"Increases all healing received by "&amp;TEXT((F79-1)*100,"0")&amp;"%."</f>
        <v>Increases all healing received by 50%.</v>
      </c>
      <c r="K79" s="9" t="s">
        <v>124</v>
      </c>
    </row>
    <row r="80" spans="1:11" x14ac:dyDescent="0.25">
      <c r="A80" s="2">
        <v>79</v>
      </c>
      <c r="B80" s="2" t="s">
        <v>105</v>
      </c>
      <c r="C80" s="2" t="s">
        <v>30</v>
      </c>
      <c r="D80" s="2" t="s">
        <v>152</v>
      </c>
      <c r="E80" s="2" t="s">
        <v>34</v>
      </c>
      <c r="F80" s="2">
        <v>0.75</v>
      </c>
      <c r="G80" s="2" t="s">
        <v>153</v>
      </c>
      <c r="H80" s="2"/>
      <c r="I80" s="2"/>
      <c r="J80" s="2" t="str">
        <f>"Reduces super-effective damage by "&amp;TEXT((1-F80)*100,"0")&amp;"%."</f>
        <v>Reduces super-effective damage by 25%.</v>
      </c>
      <c r="K80" s="10" t="s">
        <v>129</v>
      </c>
    </row>
    <row r="81" spans="1:11" x14ac:dyDescent="0.25">
      <c r="A81" s="1">
        <v>80</v>
      </c>
      <c r="B81" s="1" t="s">
        <v>110</v>
      </c>
      <c r="C81" s="1" t="s">
        <v>30</v>
      </c>
      <c r="D81" s="1" t="s">
        <v>152</v>
      </c>
      <c r="E81" s="1" t="s">
        <v>38</v>
      </c>
      <c r="F81" s="1">
        <v>1.5</v>
      </c>
      <c r="G81" s="1" t="s">
        <v>155</v>
      </c>
      <c r="H81" s="1"/>
      <c r="I81" s="1"/>
      <c r="J81" s="1" t="str">
        <f>"Increases Attack by "&amp;TEXT((F81-1)*100,"0")&amp;"% when the user is hurt."</f>
        <v>Increases Attack by 50% when the user is hurt.</v>
      </c>
      <c r="K81" s="9" t="s">
        <v>124</v>
      </c>
    </row>
    <row r="82" spans="1:11" x14ac:dyDescent="0.25">
      <c r="A82" s="2">
        <v>81</v>
      </c>
      <c r="B82" s="2" t="s">
        <v>223</v>
      </c>
      <c r="C82" s="2" t="s">
        <v>30</v>
      </c>
      <c r="D82" s="2" t="s">
        <v>152</v>
      </c>
      <c r="E82" s="2" t="s">
        <v>40</v>
      </c>
      <c r="F82" s="2">
        <v>1.5</v>
      </c>
      <c r="G82" s="2" t="s">
        <v>113</v>
      </c>
      <c r="H82" s="2"/>
      <c r="I82" s="2"/>
      <c r="J82" s="2" t="str">
        <f>"Boosts Speed by "&amp;TEXT((F82-1)*100,"0")&amp;"% during a sandstorm."</f>
        <v>Boosts Speed by 50% during a sandstorm.</v>
      </c>
      <c r="K82" s="10" t="s">
        <v>129</v>
      </c>
    </row>
    <row r="83" spans="1:11" x14ac:dyDescent="0.25">
      <c r="A83" s="1">
        <v>82</v>
      </c>
      <c r="B83" s="1" t="s">
        <v>116</v>
      </c>
      <c r="C83" s="1" t="s">
        <v>30</v>
      </c>
      <c r="D83" s="1" t="s">
        <v>181</v>
      </c>
      <c r="E83" s="1" t="s">
        <v>38</v>
      </c>
      <c r="F83" s="1">
        <v>1.5</v>
      </c>
      <c r="G83" s="1" t="s">
        <v>79</v>
      </c>
      <c r="H83" s="1"/>
      <c r="I83" s="1"/>
      <c r="J83" s="1" t="str">
        <f>"Boosts all allies' Attack by "&amp;TEXT((F83-1)*100,"0")&amp;"% in sunlight."</f>
        <v>Boosts all allies' Attack by 50% in sunlight.</v>
      </c>
      <c r="K83" s="9" t="s">
        <v>124</v>
      </c>
    </row>
    <row r="84" spans="1:11" x14ac:dyDescent="0.25">
      <c r="A84" s="2">
        <v>83</v>
      </c>
      <c r="B84" s="2" t="s">
        <v>224</v>
      </c>
      <c r="C84" s="2" t="s">
        <v>30</v>
      </c>
      <c r="D84" s="2" t="s">
        <v>152</v>
      </c>
      <c r="E84" s="2" t="s">
        <v>34</v>
      </c>
      <c r="F84" s="2">
        <v>0.75</v>
      </c>
      <c r="G84" s="2"/>
      <c r="H84" s="2"/>
      <c r="I84" s="2"/>
      <c r="J84" s="2" t="str">
        <f>"Reduces all incoming damage by "&amp;TEXT((1-F84)*100,"0")&amp;"% during a sandstorm."</f>
        <v>Reduces all incoming damage by 25% during a sandstorm.</v>
      </c>
      <c r="K84" s="10" t="s">
        <v>129</v>
      </c>
    </row>
    <row r="85" spans="1:11" x14ac:dyDescent="0.25">
      <c r="A85" s="1">
        <v>84</v>
      </c>
      <c r="B85" s="1"/>
      <c r="C85" s="1"/>
      <c r="D85" s="1"/>
      <c r="E85" s="1"/>
      <c r="F85" s="1"/>
      <c r="G85" s="1"/>
      <c r="H85" s="1"/>
      <c r="I85" s="1"/>
      <c r="J85" s="1"/>
    </row>
    <row r="86" spans="1:11" x14ac:dyDescent="0.25">
      <c r="A86" s="2">
        <v>85</v>
      </c>
      <c r="B86" s="2"/>
      <c r="C86" s="2"/>
      <c r="D86" s="2"/>
      <c r="E86" s="2"/>
      <c r="F86" s="2"/>
      <c r="G86" s="2"/>
      <c r="H86" s="2"/>
      <c r="I86" s="2"/>
      <c r="J86" s="2"/>
    </row>
    <row r="87" spans="1:11" x14ac:dyDescent="0.25">
      <c r="A87" s="1">
        <v>86</v>
      </c>
      <c r="B87" s="1"/>
      <c r="C87" s="1"/>
      <c r="D87" s="1"/>
      <c r="E87" s="1"/>
      <c r="F87" s="1"/>
      <c r="G87" s="1"/>
      <c r="H87" s="1"/>
      <c r="I87" s="1"/>
      <c r="J87" s="1"/>
    </row>
    <row r="88" spans="1:11" x14ac:dyDescent="0.25">
      <c r="A88" s="2">
        <v>87</v>
      </c>
      <c r="B88" s="2"/>
      <c r="C88" s="2"/>
      <c r="D88" s="2"/>
      <c r="E88" s="2"/>
      <c r="F88" s="2"/>
      <c r="G88" s="2"/>
      <c r="H88" s="2"/>
      <c r="I88" s="2"/>
      <c r="J88" s="2"/>
    </row>
    <row r="89" spans="1:11" x14ac:dyDescent="0.25">
      <c r="A89" s="1">
        <v>88</v>
      </c>
      <c r="B89" s="1"/>
      <c r="C89" s="1"/>
      <c r="D89" s="1"/>
      <c r="E89" s="1"/>
      <c r="F89" s="1"/>
      <c r="G89" s="1"/>
      <c r="H89" s="1"/>
      <c r="I89" s="1"/>
      <c r="J89" s="1"/>
    </row>
    <row r="90" spans="1:11" x14ac:dyDescent="0.25">
      <c r="A90" s="2">
        <v>89</v>
      </c>
      <c r="B90" s="2"/>
      <c r="C90" s="2"/>
      <c r="D90" s="2"/>
      <c r="E90" s="2"/>
      <c r="F90" s="2"/>
      <c r="G90" s="2"/>
      <c r="H90" s="2"/>
      <c r="I90" s="2"/>
      <c r="J90" s="2"/>
    </row>
    <row r="91" spans="1:11" x14ac:dyDescent="0.25">
      <c r="A91" s="1">
        <v>90</v>
      </c>
      <c r="B91" s="1"/>
      <c r="C91" s="1"/>
      <c r="D91" s="1"/>
      <c r="E91" s="1"/>
      <c r="F91" s="1"/>
      <c r="G91" s="1"/>
      <c r="H91" s="1"/>
      <c r="I91" s="1"/>
      <c r="J91" s="1"/>
    </row>
    <row r="92" spans="1:11" x14ac:dyDescent="0.25">
      <c r="A92" s="2">
        <v>91</v>
      </c>
      <c r="B92" s="2"/>
      <c r="C92" s="2"/>
      <c r="D92" s="2"/>
      <c r="E92" s="2"/>
      <c r="F92" s="2"/>
      <c r="G92" s="2"/>
      <c r="H92" s="2"/>
      <c r="I92" s="2"/>
      <c r="J92" s="2"/>
    </row>
    <row r="93" spans="1:11" x14ac:dyDescent="0.25">
      <c r="A93" s="1">
        <v>92</v>
      </c>
      <c r="B93" s="1"/>
      <c r="C93" s="1"/>
      <c r="D93" s="1"/>
      <c r="E93" s="1"/>
      <c r="F93" s="1"/>
      <c r="G93" s="1"/>
      <c r="H93" s="1"/>
      <c r="I93" s="1"/>
      <c r="J93" s="1"/>
    </row>
    <row r="94" spans="1:11" x14ac:dyDescent="0.25">
      <c r="A94" s="2">
        <v>93</v>
      </c>
      <c r="B94" s="2"/>
      <c r="C94" s="2"/>
      <c r="D94" s="2"/>
      <c r="E94" s="2"/>
      <c r="F94" s="2"/>
      <c r="G94" s="2"/>
      <c r="H94" s="2"/>
      <c r="I94" s="2"/>
      <c r="J94" s="2"/>
    </row>
    <row r="95" spans="1:11" x14ac:dyDescent="0.25">
      <c r="A95" s="1">
        <v>94</v>
      </c>
      <c r="B95" s="1"/>
      <c r="C95" s="1"/>
      <c r="D95" s="1"/>
      <c r="E95" s="1"/>
      <c r="F95" s="1"/>
      <c r="G95" s="1"/>
      <c r="H95" s="1"/>
      <c r="I95" s="1"/>
      <c r="J95" s="1"/>
    </row>
    <row r="96" spans="1:11" x14ac:dyDescent="0.25">
      <c r="A96" s="2">
        <v>95</v>
      </c>
      <c r="B96" s="2"/>
      <c r="C96" s="2"/>
      <c r="D96" s="2"/>
      <c r="E96" s="2"/>
      <c r="F96" s="2"/>
      <c r="G96" s="2"/>
      <c r="H96" s="2"/>
      <c r="I96" s="2"/>
      <c r="J96" s="2"/>
    </row>
    <row r="97" spans="1:10" x14ac:dyDescent="0.25">
      <c r="A97" s="1">
        <v>96</v>
      </c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25">
      <c r="A98" s="2">
        <v>97</v>
      </c>
      <c r="B98" s="2"/>
      <c r="C98" s="2"/>
      <c r="D98" s="2"/>
      <c r="E98" s="2"/>
      <c r="F98" s="2"/>
      <c r="G98" s="2"/>
      <c r="H98" s="2"/>
      <c r="I98" s="2"/>
      <c r="J98" s="2"/>
    </row>
    <row r="99" spans="1:10" x14ac:dyDescent="0.25">
      <c r="A99" s="1">
        <v>98</v>
      </c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25">
      <c r="A100" s="2">
        <v>99</v>
      </c>
      <c r="B100" s="2"/>
      <c r="C100" s="2"/>
      <c r="D100" s="2"/>
      <c r="E100" s="2"/>
      <c r="F100" s="2"/>
      <c r="G100" s="2"/>
      <c r="H100" s="2"/>
      <c r="I100" s="2"/>
      <c r="J100" s="2"/>
    </row>
    <row r="101" spans="1:10" x14ac:dyDescent="0.25">
      <c r="A101" s="1">
        <v>100</v>
      </c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25">
      <c r="A102" s="2">
        <v>101</v>
      </c>
      <c r="B102" s="2"/>
      <c r="C102" s="2"/>
      <c r="D102" s="2"/>
      <c r="E102" s="2"/>
      <c r="F102" s="2"/>
      <c r="G102" s="2"/>
      <c r="H102" s="2"/>
      <c r="I102" s="2"/>
      <c r="J102" s="2"/>
    </row>
    <row r="103" spans="1:10" x14ac:dyDescent="0.25">
      <c r="A103" s="1">
        <v>102</v>
      </c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25">
      <c r="A104" s="2">
        <v>103</v>
      </c>
      <c r="B104" s="2"/>
      <c r="C104" s="2"/>
      <c r="D104" s="2"/>
      <c r="E104" s="2"/>
      <c r="F104" s="2"/>
      <c r="G104" s="2"/>
      <c r="H104" s="2"/>
      <c r="I104" s="2"/>
      <c r="J104" s="2"/>
    </row>
    <row r="105" spans="1:10" x14ac:dyDescent="0.25">
      <c r="A105" s="1">
        <v>104</v>
      </c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25">
      <c r="A106" s="2">
        <v>105</v>
      </c>
      <c r="B106" s="2"/>
      <c r="C106" s="2"/>
      <c r="D106" s="2"/>
      <c r="E106" s="2"/>
      <c r="F106" s="2"/>
      <c r="G106" s="2"/>
      <c r="H106" s="2"/>
      <c r="I106" s="2"/>
      <c r="J106" s="2"/>
    </row>
    <row r="107" spans="1:10" x14ac:dyDescent="0.25">
      <c r="A107" s="1">
        <v>106</v>
      </c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25">
      <c r="A108" s="2">
        <v>107</v>
      </c>
      <c r="B108" s="2"/>
      <c r="C108" s="2"/>
      <c r="D108" s="2"/>
      <c r="E108" s="2"/>
      <c r="F108" s="2"/>
      <c r="G108" s="2"/>
      <c r="H108" s="2"/>
      <c r="I108" s="2"/>
      <c r="J108" s="2"/>
    </row>
    <row r="109" spans="1:10" x14ac:dyDescent="0.25">
      <c r="A109" s="1">
        <v>108</v>
      </c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25">
      <c r="A110" s="2">
        <v>109</v>
      </c>
      <c r="B110" s="2"/>
      <c r="C110" s="2"/>
      <c r="D110" s="2"/>
      <c r="E110" s="2"/>
      <c r="F110" s="2"/>
      <c r="G110" s="2"/>
      <c r="H110" s="2"/>
      <c r="I110" s="2"/>
      <c r="J110" s="2"/>
    </row>
    <row r="111" spans="1:10" x14ac:dyDescent="0.25">
      <c r="A111" s="1">
        <v>110</v>
      </c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25">
      <c r="A112" s="2">
        <v>111</v>
      </c>
      <c r="B112" s="2"/>
      <c r="C112" s="2"/>
      <c r="D112" s="2"/>
      <c r="E112" s="2"/>
      <c r="F112" s="2"/>
      <c r="G112" s="2"/>
      <c r="H112" s="2"/>
      <c r="I112" s="2"/>
      <c r="J112" s="2"/>
    </row>
    <row r="113" spans="1:10" x14ac:dyDescent="0.25">
      <c r="A113" s="1">
        <v>112</v>
      </c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5">
      <c r="A114" s="2">
        <v>113</v>
      </c>
      <c r="B114" s="2"/>
      <c r="C114" s="2"/>
      <c r="D114" s="2"/>
      <c r="E114" s="2"/>
      <c r="F114" s="2"/>
      <c r="G114" s="2"/>
      <c r="H114" s="2"/>
      <c r="I114" s="2"/>
      <c r="J114" s="2"/>
    </row>
    <row r="115" spans="1:10" x14ac:dyDescent="0.25">
      <c r="A115" s="1">
        <v>114</v>
      </c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25">
      <c r="A116" s="2">
        <v>115</v>
      </c>
      <c r="B116" s="2"/>
      <c r="C116" s="2"/>
      <c r="D116" s="2"/>
      <c r="E116" s="2"/>
      <c r="F116" s="2"/>
      <c r="G116" s="2"/>
      <c r="H116" s="2"/>
      <c r="I116" s="2"/>
      <c r="J116" s="2"/>
    </row>
    <row r="117" spans="1:10" x14ac:dyDescent="0.25">
      <c r="A117" s="1">
        <v>116</v>
      </c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25">
      <c r="A118" s="2">
        <v>117</v>
      </c>
      <c r="B118" s="2"/>
      <c r="C118" s="2"/>
      <c r="D118" s="2"/>
      <c r="E118" s="2"/>
      <c r="F118" s="2"/>
      <c r="G118" s="2"/>
      <c r="H118" s="2"/>
      <c r="I118" s="2"/>
      <c r="J118" s="2"/>
    </row>
    <row r="119" spans="1:10" x14ac:dyDescent="0.25">
      <c r="A119" s="1">
        <v>118</v>
      </c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25">
      <c r="A120" s="2">
        <v>119</v>
      </c>
      <c r="B120" s="2"/>
      <c r="C120" s="2"/>
      <c r="D120" s="2"/>
      <c r="E120" s="2"/>
      <c r="F120" s="2"/>
      <c r="G120" s="2"/>
      <c r="H120" s="2"/>
      <c r="I120" s="2"/>
      <c r="J120" s="2"/>
    </row>
    <row r="121" spans="1:10" x14ac:dyDescent="0.25">
      <c r="A121" s="1">
        <v>120</v>
      </c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25">
      <c r="A122" s="2">
        <v>121</v>
      </c>
      <c r="B122" s="2"/>
      <c r="C122" s="2"/>
      <c r="D122" s="2"/>
      <c r="E122" s="2"/>
      <c r="F122" s="2"/>
      <c r="G122" s="2"/>
      <c r="H122" s="2"/>
      <c r="I122" s="2"/>
      <c r="J122" s="2"/>
    </row>
    <row r="123" spans="1:10" x14ac:dyDescent="0.25">
      <c r="A123" s="1">
        <v>122</v>
      </c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25">
      <c r="A124" s="2">
        <v>123</v>
      </c>
      <c r="B124" s="2"/>
      <c r="C124" s="2"/>
      <c r="D124" s="2"/>
      <c r="E124" s="2"/>
      <c r="F124" s="2"/>
      <c r="G124" s="2"/>
      <c r="H124" s="2"/>
      <c r="I124" s="2"/>
      <c r="J124" s="2"/>
    </row>
    <row r="125" spans="1:10" x14ac:dyDescent="0.25">
      <c r="A125" s="1">
        <v>124</v>
      </c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25">
      <c r="A126" s="2">
        <v>125</v>
      </c>
      <c r="B126" s="2"/>
      <c r="C126" s="2"/>
      <c r="D126" s="2"/>
      <c r="E126" s="2"/>
      <c r="F126" s="2"/>
      <c r="G126" s="2"/>
      <c r="H126" s="2"/>
      <c r="I126" s="2"/>
      <c r="J126" s="2"/>
    </row>
    <row r="127" spans="1:10" x14ac:dyDescent="0.25">
      <c r="A127" s="1">
        <v>126</v>
      </c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25">
      <c r="A128" s="2">
        <v>127</v>
      </c>
      <c r="B128" s="2"/>
      <c r="C128" s="2"/>
      <c r="D128" s="2"/>
      <c r="E128" s="2"/>
      <c r="F128" s="2"/>
      <c r="G128" s="2"/>
      <c r="H128" s="2"/>
      <c r="I128" s="2"/>
      <c r="J128" s="2"/>
    </row>
    <row r="129" spans="1:10" x14ac:dyDescent="0.25">
      <c r="A129" s="1">
        <v>128</v>
      </c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25">
      <c r="A130" s="2">
        <v>129</v>
      </c>
      <c r="B130" s="2"/>
      <c r="C130" s="2"/>
      <c r="D130" s="2"/>
      <c r="E130" s="2"/>
      <c r="F130" s="2"/>
      <c r="G130" s="2"/>
      <c r="H130" s="2"/>
      <c r="I130" s="2"/>
      <c r="J130" s="2"/>
    </row>
    <row r="131" spans="1:10" x14ac:dyDescent="0.25">
      <c r="A131" s="1">
        <v>130</v>
      </c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25">
      <c r="A132" s="2">
        <v>131</v>
      </c>
      <c r="B132" s="2"/>
      <c r="C132" s="2"/>
      <c r="D132" s="2"/>
      <c r="E132" s="2"/>
      <c r="F132" s="2"/>
      <c r="G132" s="2"/>
      <c r="H132" s="2"/>
      <c r="I132" s="2"/>
      <c r="J132" s="2"/>
    </row>
    <row r="133" spans="1:10" x14ac:dyDescent="0.25">
      <c r="A133" s="1">
        <v>132</v>
      </c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25">
      <c r="A134" s="2">
        <v>133</v>
      </c>
      <c r="B134" s="2"/>
      <c r="C134" s="2"/>
      <c r="D134" s="2"/>
      <c r="E134" s="2"/>
      <c r="F134" s="2"/>
      <c r="G134" s="2"/>
      <c r="H134" s="2"/>
      <c r="I134" s="2"/>
      <c r="J134" s="2"/>
    </row>
    <row r="135" spans="1:10" x14ac:dyDescent="0.25">
      <c r="A135" s="1">
        <v>134</v>
      </c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25">
      <c r="A136" s="2">
        <v>135</v>
      </c>
      <c r="B136" s="2"/>
      <c r="C136" s="2"/>
      <c r="D136" s="2"/>
      <c r="E136" s="2"/>
      <c r="F136" s="2"/>
      <c r="G136" s="2"/>
      <c r="H136" s="2"/>
      <c r="I136" s="2"/>
      <c r="J136" s="2"/>
    </row>
    <row r="137" spans="1:10" x14ac:dyDescent="0.25">
      <c r="A137" s="1">
        <v>136</v>
      </c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25">
      <c r="A138" s="2">
        <v>137</v>
      </c>
      <c r="B138" s="2"/>
      <c r="C138" s="2"/>
      <c r="D138" s="2"/>
      <c r="E138" s="2"/>
      <c r="F138" s="2"/>
      <c r="G138" s="2"/>
      <c r="H138" s="2"/>
      <c r="I138" s="2"/>
      <c r="J138" s="2"/>
    </row>
    <row r="139" spans="1:10" x14ac:dyDescent="0.25">
      <c r="A139" s="1">
        <v>138</v>
      </c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25">
      <c r="A140" s="2">
        <v>139</v>
      </c>
      <c r="B140" s="2"/>
      <c r="C140" s="2"/>
      <c r="D140" s="2"/>
      <c r="E140" s="2"/>
      <c r="F140" s="2"/>
      <c r="G140" s="2"/>
      <c r="H140" s="2"/>
      <c r="I140" s="2"/>
      <c r="J140" s="2"/>
    </row>
    <row r="141" spans="1:10" x14ac:dyDescent="0.25">
      <c r="A141" s="1">
        <v>140</v>
      </c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25">
      <c r="A142" s="2">
        <v>141</v>
      </c>
      <c r="B142" s="2"/>
      <c r="C142" s="2"/>
      <c r="D142" s="2"/>
      <c r="E142" s="2"/>
      <c r="F142" s="2"/>
      <c r="G142" s="2"/>
      <c r="H142" s="2"/>
      <c r="I142" s="2"/>
      <c r="J142" s="2"/>
    </row>
    <row r="143" spans="1:10" x14ac:dyDescent="0.25">
      <c r="A143" s="1">
        <v>142</v>
      </c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25">
      <c r="A144" s="2">
        <v>143</v>
      </c>
      <c r="B144" s="2"/>
      <c r="C144" s="2"/>
      <c r="D144" s="2"/>
      <c r="E144" s="2"/>
      <c r="F144" s="2"/>
      <c r="G144" s="2"/>
      <c r="H144" s="2"/>
      <c r="I144" s="2"/>
      <c r="J144" s="2"/>
    </row>
    <row r="145" spans="1:10" x14ac:dyDescent="0.25">
      <c r="A145" s="1">
        <v>144</v>
      </c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25">
      <c r="A146" s="2">
        <v>145</v>
      </c>
      <c r="B146" s="2"/>
      <c r="C146" s="2"/>
      <c r="D146" s="2"/>
      <c r="E146" s="2"/>
      <c r="F146" s="2"/>
      <c r="G146" s="2"/>
      <c r="H146" s="2"/>
      <c r="I146" s="2"/>
      <c r="J146" s="2"/>
    </row>
    <row r="147" spans="1:10" x14ac:dyDescent="0.25">
      <c r="A147" s="1">
        <v>146</v>
      </c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25">
      <c r="A148" s="2">
        <v>147</v>
      </c>
      <c r="B148" s="2"/>
      <c r="C148" s="2"/>
      <c r="D148" s="2"/>
      <c r="E148" s="2"/>
      <c r="F148" s="2"/>
      <c r="G148" s="2"/>
      <c r="H148" s="2"/>
      <c r="I148" s="2"/>
      <c r="J148" s="2"/>
    </row>
    <row r="149" spans="1:10" x14ac:dyDescent="0.25">
      <c r="A149" s="1">
        <v>148</v>
      </c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25">
      <c r="A150" s="2">
        <v>149</v>
      </c>
      <c r="B150" s="2"/>
      <c r="C150" s="2"/>
      <c r="D150" s="2"/>
      <c r="E150" s="2"/>
      <c r="F150" s="2"/>
      <c r="G150" s="2"/>
      <c r="H150" s="2"/>
      <c r="I150" s="2"/>
      <c r="J150" s="2"/>
    </row>
    <row r="151" spans="1:10" x14ac:dyDescent="0.25">
      <c r="A151" s="1">
        <v>150</v>
      </c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25">
      <c r="A152" s="2">
        <v>151</v>
      </c>
      <c r="B152" s="2"/>
      <c r="C152" s="2"/>
      <c r="D152" s="2"/>
      <c r="E152" s="2"/>
      <c r="F152" s="2"/>
      <c r="G152" s="2"/>
      <c r="H152" s="2"/>
      <c r="I152" s="2"/>
      <c r="J152" s="2"/>
    </row>
    <row r="153" spans="1:10" x14ac:dyDescent="0.25">
      <c r="A153" s="1">
        <v>152</v>
      </c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25">
      <c r="A154" s="2">
        <v>153</v>
      </c>
      <c r="B154" s="2"/>
      <c r="C154" s="2"/>
      <c r="D154" s="2"/>
      <c r="E154" s="2"/>
      <c r="F154" s="2"/>
      <c r="G154" s="2"/>
      <c r="H154" s="2"/>
      <c r="I154" s="2"/>
      <c r="J154" s="2"/>
    </row>
    <row r="155" spans="1:10" x14ac:dyDescent="0.25">
      <c r="A155" s="1">
        <v>154</v>
      </c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25">
      <c r="A156" s="2">
        <v>155</v>
      </c>
      <c r="B156" s="2"/>
      <c r="C156" s="2"/>
      <c r="D156" s="2"/>
      <c r="E156" s="2"/>
      <c r="F156" s="2"/>
      <c r="G156" s="2"/>
      <c r="H156" s="2"/>
      <c r="I156" s="2"/>
      <c r="J156" s="2"/>
    </row>
    <row r="157" spans="1:10" x14ac:dyDescent="0.25">
      <c r="A157" s="1">
        <v>156</v>
      </c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25">
      <c r="A158" s="2">
        <v>157</v>
      </c>
      <c r="B158" s="2"/>
      <c r="C158" s="2"/>
      <c r="D158" s="2"/>
      <c r="E158" s="2"/>
      <c r="F158" s="2"/>
      <c r="G158" s="2"/>
      <c r="H158" s="2"/>
      <c r="I158" s="2"/>
      <c r="J158" s="2"/>
    </row>
    <row r="159" spans="1:10" x14ac:dyDescent="0.25">
      <c r="A159" s="1">
        <v>158</v>
      </c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25">
      <c r="A160" s="2">
        <v>159</v>
      </c>
      <c r="B160" s="2"/>
      <c r="C160" s="2"/>
      <c r="D160" s="2"/>
      <c r="E160" s="2"/>
      <c r="F160" s="2"/>
      <c r="G160" s="2"/>
      <c r="H160" s="2"/>
      <c r="I160" s="2"/>
      <c r="J160" s="2"/>
    </row>
    <row r="161" spans="1:10" x14ac:dyDescent="0.25">
      <c r="A161" s="1">
        <v>160</v>
      </c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25">
      <c r="A162" s="2">
        <v>161</v>
      </c>
      <c r="B162" s="2"/>
      <c r="C162" s="2"/>
      <c r="D162" s="2"/>
      <c r="E162" s="2"/>
      <c r="F162" s="2"/>
      <c r="G162" s="2"/>
      <c r="H162" s="2"/>
      <c r="I162" s="2"/>
      <c r="J162" s="2"/>
    </row>
    <row r="163" spans="1:10" x14ac:dyDescent="0.25">
      <c r="A163" s="1">
        <v>162</v>
      </c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25">
      <c r="A164" s="2">
        <v>163</v>
      </c>
      <c r="B164" s="2"/>
      <c r="C164" s="2"/>
      <c r="D164" s="2"/>
      <c r="E164" s="2"/>
      <c r="F164" s="2"/>
      <c r="G164" s="2"/>
      <c r="H164" s="2"/>
      <c r="I164" s="2"/>
      <c r="J164" s="2"/>
    </row>
    <row r="165" spans="1:10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</row>
    <row r="167" spans="1:10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</row>
    <row r="169" spans="1:10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</row>
    <row r="171" spans="1:10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</row>
    <row r="173" spans="1:10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</row>
    <row r="175" spans="1:10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</row>
    <row r="177" spans="1:10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</row>
    <row r="179" spans="1:10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</row>
    <row r="181" spans="1:10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</row>
    <row r="183" spans="1:10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</row>
    <row r="185" spans="1:10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</row>
    <row r="187" spans="1:10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</row>
    <row r="189" spans="1:10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</row>
    <row r="191" spans="1:10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</row>
    <row r="193" spans="1:10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</row>
    <row r="195" spans="1:10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</row>
    <row r="197" spans="1:10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</row>
    <row r="199" spans="1:10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</row>
    <row r="201" spans="1:10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</row>
    <row r="203" spans="1:10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</row>
    <row r="205" spans="1:10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</row>
    <row r="207" spans="1:10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</row>
    <row r="209" spans="1:10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</row>
    <row r="211" spans="1:10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</row>
    <row r="213" spans="1:10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</row>
    <row r="215" spans="1:10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</row>
    <row r="217" spans="1:10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</row>
    <row r="219" spans="1:10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</row>
    <row r="221" spans="1:10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</row>
    <row r="223" spans="1:10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</row>
    <row r="225" spans="1:10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</row>
    <row r="227" spans="1:10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</row>
    <row r="228" spans="1:10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</row>
    <row r="229" spans="1:10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</row>
    <row r="230" spans="1:10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</row>
    <row r="231" spans="1:10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</row>
    <row r="232" spans="1:10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</row>
    <row r="233" spans="1:10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</row>
    <row r="235" spans="1:10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</row>
    <row r="237" spans="1:10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</row>
    <row r="239" spans="1:10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</row>
    <row r="241" spans="1:10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</row>
    <row r="243" spans="1:10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</row>
    <row r="245" spans="1:10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</row>
    <row r="247" spans="1:10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</row>
    <row r="249" spans="1:10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</row>
    <row r="251" spans="1:10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</row>
    <row r="253" spans="1:10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</row>
    <row r="255" spans="1:10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</row>
    <row r="257" spans="1:10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</row>
    <row r="259" spans="1:10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</row>
    <row r="261" spans="1:10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</row>
    <row r="263" spans="1:10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</row>
    <row r="265" spans="1:10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</row>
    <row r="267" spans="1:10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</row>
    <row r="269" spans="1:10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</row>
    <row r="271" spans="1:10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</row>
    <row r="273" spans="1:10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</row>
    <row r="275" spans="1:10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</row>
    <row r="277" spans="1:10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</row>
    <row r="279" spans="1:10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</row>
    <row r="281" spans="1:10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</row>
    <row r="283" spans="1:10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</row>
    <row r="285" spans="1:10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</row>
    <row r="287" spans="1:10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</row>
    <row r="289" spans="1:10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</row>
    <row r="291" spans="1:10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</row>
    <row r="293" spans="1:10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</row>
    <row r="295" spans="1:10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</row>
    <row r="297" spans="1:10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</row>
    <row r="299" spans="1:10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</row>
    <row r="301" spans="1:10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</row>
    <row r="303" spans="1:10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</row>
    <row r="305" spans="1:10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</row>
    <row r="307" spans="1:10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</row>
    <row r="309" spans="1:10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</row>
    <row r="311" spans="1:10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</row>
    <row r="313" spans="1:10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</row>
    <row r="315" spans="1:10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</row>
    <row r="317" spans="1:10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</row>
    <row r="319" spans="1:10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</row>
    <row r="321" spans="1:10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</row>
    <row r="323" spans="1:10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</row>
    <row r="325" spans="1:10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</row>
    <row r="327" spans="1:10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</row>
    <row r="329" spans="1:10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</row>
    <row r="331" spans="1:10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</row>
    <row r="333" spans="1:10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</row>
    <row r="335" spans="1:10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</row>
    <row r="337" spans="1:10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</row>
    <row r="339" spans="1:10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</row>
    <row r="341" spans="1:10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</row>
    <row r="343" spans="1:10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</row>
    <row r="345" spans="1:10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</row>
    <row r="347" spans="1:10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</row>
    <row r="349" spans="1:10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</row>
    <row r="351" spans="1:10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</row>
    <row r="353" spans="1:10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</row>
    <row r="355" spans="1:10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</row>
    <row r="357" spans="1:10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</row>
    <row r="359" spans="1:10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</row>
    <row r="361" spans="1:10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</row>
    <row r="363" spans="1:10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</row>
    <row r="365" spans="1:10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</row>
    <row r="367" spans="1:10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</row>
    <row r="369" spans="1:10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</row>
    <row r="371" spans="1:10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</row>
    <row r="373" spans="1:10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</row>
    <row r="375" spans="1:10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</row>
    <row r="377" spans="1:10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</row>
    <row r="379" spans="1:10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</row>
    <row r="381" spans="1:10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</row>
    <row r="383" spans="1:10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</row>
    <row r="385" spans="1:1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</row>
    <row r="387" spans="1:1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autoFilter ref="A1:Q387" xr:uid="{FA79B751-29A0-4CEF-B396-6EAA312E05E2}"/>
  <sortState xmlns:xlrd2="http://schemas.microsoft.com/office/spreadsheetml/2017/richdata2" ref="A2:G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3:B27"/>
  <sheetViews>
    <sheetView workbookViewId="0">
      <selection activeCell="B33" sqref="B33"/>
    </sheetView>
  </sheetViews>
  <sheetFormatPr defaultRowHeight="15" x14ac:dyDescent="0.25"/>
  <cols>
    <col min="1" max="1" width="30.28515625" customWidth="1"/>
    <col min="2" max="2" width="77" customWidth="1"/>
  </cols>
  <sheetData>
    <row r="3" spans="1:2" x14ac:dyDescent="0.25">
      <c r="A3" t="s">
        <v>8</v>
      </c>
      <c r="B3" t="s">
        <v>9</v>
      </c>
    </row>
    <row r="4" spans="1:2" x14ac:dyDescent="0.25">
      <c r="A4" t="s">
        <v>10</v>
      </c>
      <c r="B4" t="s">
        <v>11</v>
      </c>
    </row>
    <row r="5" spans="1:2" x14ac:dyDescent="0.25">
      <c r="A5" t="s">
        <v>12</v>
      </c>
      <c r="B5" t="s">
        <v>13</v>
      </c>
    </row>
    <row r="6" spans="1:2" x14ac:dyDescent="0.25">
      <c r="A6" t="s">
        <v>14</v>
      </c>
      <c r="B6" t="s">
        <v>15</v>
      </c>
    </row>
    <row r="7" spans="1:2" x14ac:dyDescent="0.25">
      <c r="A7" t="s">
        <v>16</v>
      </c>
      <c r="B7" t="s">
        <v>17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22</v>
      </c>
      <c r="B10" t="s">
        <v>23</v>
      </c>
    </row>
    <row r="11" spans="1:2" x14ac:dyDescent="0.25">
      <c r="A11" t="s">
        <v>24</v>
      </c>
      <c r="B11" t="s">
        <v>25</v>
      </c>
    </row>
    <row r="12" spans="1:2" x14ac:dyDescent="0.25">
      <c r="A12" t="s">
        <v>26</v>
      </c>
      <c r="B12" t="s">
        <v>27</v>
      </c>
    </row>
    <row r="13" spans="1:2" x14ac:dyDescent="0.25">
      <c r="A13" t="s">
        <v>28</v>
      </c>
      <c r="B13" t="s">
        <v>29</v>
      </c>
    </row>
    <row r="14" spans="1:2" x14ac:dyDescent="0.25">
      <c r="A14" t="s">
        <v>30</v>
      </c>
      <c r="B14" t="s">
        <v>31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34</v>
      </c>
      <c r="B17" t="s">
        <v>35</v>
      </c>
    </row>
    <row r="18" spans="1:2" x14ac:dyDescent="0.25">
      <c r="A18" t="s">
        <v>36</v>
      </c>
      <c r="B18" t="s">
        <v>37</v>
      </c>
    </row>
    <row r="19" spans="1:2" x14ac:dyDescent="0.25">
      <c r="A19" t="s">
        <v>38</v>
      </c>
      <c r="B19" t="s">
        <v>39</v>
      </c>
    </row>
    <row r="20" spans="1:2" x14ac:dyDescent="0.25">
      <c r="A20" t="s">
        <v>40</v>
      </c>
      <c r="B20" t="s">
        <v>41</v>
      </c>
    </row>
    <row r="21" spans="1:2" x14ac:dyDescent="0.25">
      <c r="A21" t="s">
        <v>42</v>
      </c>
      <c r="B21" t="s">
        <v>43</v>
      </c>
    </row>
    <row r="22" spans="1:2" x14ac:dyDescent="0.25">
      <c r="A22" t="s">
        <v>44</v>
      </c>
      <c r="B22" t="s">
        <v>45</v>
      </c>
    </row>
    <row r="23" spans="1:2" x14ac:dyDescent="0.25">
      <c r="A23" t="s">
        <v>46</v>
      </c>
      <c r="B23" t="s">
        <v>47</v>
      </c>
    </row>
    <row r="24" spans="1:2" x14ac:dyDescent="0.25">
      <c r="A24" t="s">
        <v>48</v>
      </c>
      <c r="B24" t="s">
        <v>49</v>
      </c>
    </row>
    <row r="25" spans="1:2" x14ac:dyDescent="0.25">
      <c r="A25" t="s">
        <v>50</v>
      </c>
      <c r="B25" t="s">
        <v>51</v>
      </c>
    </row>
    <row r="26" spans="1:2" x14ac:dyDescent="0.25">
      <c r="A26" t="s">
        <v>52</v>
      </c>
      <c r="B26" t="s">
        <v>53</v>
      </c>
    </row>
    <row r="27" spans="1:2" x14ac:dyDescent="0.25">
      <c r="A27" t="s">
        <v>54</v>
      </c>
      <c r="B27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commands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2026-04-08T17:20:44Z</dcterms:modified>
</cp:coreProperties>
</file>