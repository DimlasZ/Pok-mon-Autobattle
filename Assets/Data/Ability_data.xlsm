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5A8E6006-E603-458F-86AC-61CDBF17DABB}" xr6:coauthVersionLast="47" xr6:coauthVersionMax="47" xr10:uidLastSave="{00000000-0000-0000-0000-000000000000}"/>
  <bookViews>
    <workbookView xWindow="25695" yWindow="0" windowWidth="26010" windowHeight="20985" activeTab="1" xr2:uid="{00000000-000D-0000-FFFF-FFFF00000000}"/>
  </bookViews>
  <sheets>
    <sheet name="Ability" sheetId="3" r:id="rId1"/>
    <sheet name="Overview" sheetId="2" r:id="rId2"/>
  </sheets>
  <definedNames>
    <definedName name="_xlnm._FilterDatabase" localSheetId="0" hidden="1">Ability!$A$1:$U$387</definedName>
    <definedName name="_xleta.AND" hidden="1" xlm="1">#NAME?</definedName>
    <definedName name="_xleta.FIXED" hidden="1" xlm="1">#NAME?</definedName>
    <definedName name="_xleta.LOWER" hidden="1" xlm="1">#NAME?</definedName>
    <definedName name="_xleta.MAX" hidden="1" xlm="1">#NAME?</definedName>
    <definedName name="_xleta.RECEIVED" hidden="1" xlm="1">#NAME?</definedName>
    <definedName name="_xleta.SECOND" hidden="1" xlm="1">#NAME?</definedName>
    <definedName name="_xleta.TAKE" hidden="1" xlm="1">#NAME?</definedName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" l="1"/>
  <c r="D9" i="2"/>
  <c r="I5" i="2"/>
  <c r="I4" i="2"/>
  <c r="I8" i="2"/>
  <c r="I7" i="2"/>
  <c r="I6" i="2"/>
  <c r="B9" i="2"/>
  <c r="N91" i="3"/>
  <c r="N51" i="3"/>
  <c r="N88" i="3"/>
  <c r="N85" i="3"/>
  <c r="N55" i="3"/>
  <c r="N113" i="3"/>
  <c r="N89" i="3"/>
  <c r="N153" i="3"/>
  <c r="N158" i="3"/>
  <c r="N116" i="3"/>
  <c r="N67" i="3"/>
  <c r="N108" i="3"/>
  <c r="N90" i="3"/>
  <c r="N54" i="3"/>
  <c r="N44" i="3"/>
  <c r="N39" i="3"/>
  <c r="N80" i="2"/>
  <c r="N78" i="2"/>
  <c r="N77" i="2"/>
  <c r="N76" i="2"/>
  <c r="N75" i="2"/>
  <c r="N74" i="2"/>
  <c r="N73" i="2"/>
  <c r="N79" i="2" s="1"/>
  <c r="N70" i="2"/>
  <c r="N69" i="2"/>
  <c r="N68" i="2"/>
  <c r="N67" i="2"/>
  <c r="N66" i="2"/>
  <c r="N65" i="2"/>
  <c r="N64" i="2"/>
  <c r="N63" i="2"/>
  <c r="N60" i="2"/>
  <c r="N58" i="2"/>
  <c r="N57" i="2"/>
  <c r="N56" i="2"/>
  <c r="N55" i="2"/>
  <c r="N54" i="2"/>
  <c r="N53" i="2"/>
  <c r="N50" i="2"/>
  <c r="N48" i="2"/>
  <c r="N47" i="2"/>
  <c r="N46" i="2"/>
  <c r="N45" i="2"/>
  <c r="N44" i="2"/>
  <c r="N43" i="2"/>
  <c r="N49" i="2" s="1"/>
  <c r="N40" i="2"/>
  <c r="N38" i="2"/>
  <c r="N37" i="2"/>
  <c r="N36" i="2"/>
  <c r="N35" i="2"/>
  <c r="N34" i="2"/>
  <c r="N33" i="2"/>
  <c r="N30" i="2"/>
  <c r="N28" i="2"/>
  <c r="N27" i="2"/>
  <c r="N26" i="2"/>
  <c r="N25" i="2"/>
  <c r="N24" i="2"/>
  <c r="N23" i="2"/>
  <c r="N29" i="2" s="1"/>
  <c r="N20" i="2"/>
  <c r="N18" i="2"/>
  <c r="N17" i="2"/>
  <c r="N16" i="2"/>
  <c r="N15" i="2"/>
  <c r="N14" i="2"/>
  <c r="N13" i="2"/>
  <c r="H9" i="2"/>
  <c r="G9" i="2"/>
  <c r="F9" i="2"/>
  <c r="N159" i="3"/>
  <c r="N64" i="3"/>
  <c r="N78" i="3"/>
  <c r="N124" i="3"/>
  <c r="N107" i="3"/>
  <c r="N30" i="3"/>
  <c r="N141" i="3"/>
  <c r="N47" i="3"/>
  <c r="N48" i="3"/>
  <c r="N92" i="3"/>
  <c r="N66" i="3"/>
  <c r="N148" i="3"/>
  <c r="N150" i="3"/>
  <c r="N105" i="3"/>
  <c r="N71" i="3"/>
  <c r="N156" i="3"/>
  <c r="N155" i="3"/>
  <c r="N154" i="3"/>
  <c r="N152" i="3"/>
  <c r="N151" i="3"/>
  <c r="N149" i="3"/>
  <c r="N147" i="3"/>
  <c r="N146" i="3"/>
  <c r="N145" i="3"/>
  <c r="N144" i="3"/>
  <c r="N143" i="3"/>
  <c r="N142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3" i="3"/>
  <c r="N122" i="3"/>
  <c r="N121" i="3"/>
  <c r="N120" i="3"/>
  <c r="N119" i="3"/>
  <c r="N118" i="3"/>
  <c r="N117" i="3"/>
  <c r="N115" i="3"/>
  <c r="N114" i="3"/>
  <c r="N112" i="3"/>
  <c r="N111" i="3"/>
  <c r="N110" i="3"/>
  <c r="N109" i="3"/>
  <c r="N106" i="3"/>
  <c r="N104" i="3"/>
  <c r="N103" i="3"/>
  <c r="N102" i="3"/>
  <c r="N101" i="3"/>
  <c r="N100" i="3"/>
  <c r="N99" i="3"/>
  <c r="N98" i="3"/>
  <c r="N97" i="3"/>
  <c r="N96" i="3"/>
  <c r="N95" i="3"/>
  <c r="N94" i="3"/>
  <c r="N93" i="3"/>
  <c r="N84" i="3"/>
  <c r="N83" i="3"/>
  <c r="N82" i="3"/>
  <c r="N81" i="3"/>
  <c r="N79" i="3"/>
  <c r="N76" i="3"/>
  <c r="N75" i="3"/>
  <c r="N74" i="3"/>
  <c r="N73" i="3"/>
  <c r="N72" i="3"/>
  <c r="N70" i="3"/>
  <c r="N69" i="3"/>
  <c r="N65" i="3"/>
  <c r="N63" i="3"/>
  <c r="N61" i="3"/>
  <c r="N60" i="3"/>
  <c r="N58" i="3"/>
  <c r="N57" i="3"/>
  <c r="N56" i="3"/>
  <c r="N53" i="3"/>
  <c r="N52" i="3"/>
  <c r="N50" i="3"/>
  <c r="N49" i="3"/>
  <c r="N46" i="3"/>
  <c r="N43" i="3"/>
  <c r="N42" i="3"/>
  <c r="N41" i="3"/>
  <c r="N40" i="3"/>
  <c r="N38" i="3"/>
  <c r="N37" i="3"/>
  <c r="N36" i="3"/>
  <c r="N33" i="3"/>
  <c r="N32" i="3"/>
  <c r="N31" i="3"/>
  <c r="N29" i="3"/>
  <c r="N28" i="3"/>
  <c r="N27" i="3"/>
  <c r="N26" i="3"/>
  <c r="N25" i="3"/>
  <c r="N24" i="3"/>
  <c r="N23" i="3"/>
  <c r="N21" i="3"/>
  <c r="N20" i="3"/>
  <c r="N19" i="3"/>
  <c r="N18" i="3"/>
  <c r="N17" i="3"/>
  <c r="N16" i="3"/>
  <c r="N14" i="3"/>
  <c r="N13" i="3"/>
  <c r="N11" i="3"/>
  <c r="N9" i="3"/>
  <c r="N8" i="3"/>
  <c r="N7" i="3"/>
  <c r="N6" i="3"/>
  <c r="N4" i="3"/>
  <c r="N3" i="3"/>
  <c r="C9" i="2" l="1"/>
  <c r="I9" i="2" s="1"/>
  <c r="I3" i="2"/>
  <c r="N19" i="2"/>
  <c r="N39" i="2"/>
  <c r="N59" i="2"/>
</calcChain>
</file>

<file path=xl/sharedStrings.xml><?xml version="1.0" encoding="utf-8"?>
<sst xmlns="http://schemas.openxmlformats.org/spreadsheetml/2006/main" count="1226" uniqueCount="417">
  <si>
    <t>ID</t>
  </si>
  <si>
    <t>Name</t>
  </si>
  <si>
    <t>Description</t>
  </si>
  <si>
    <t>Trigger</t>
  </si>
  <si>
    <t>Effect</t>
  </si>
  <si>
    <t>Value</t>
  </si>
  <si>
    <t>Condition</t>
  </si>
  <si>
    <t>Absorb</t>
  </si>
  <si>
    <t>on_battle_start</t>
  </si>
  <si>
    <t>on_round_start</t>
  </si>
  <si>
    <t>before_attack</t>
  </si>
  <si>
    <t>on_attack</t>
  </si>
  <si>
    <t>after_attack</t>
  </si>
  <si>
    <t>before_hit</t>
  </si>
  <si>
    <t>on_hit</t>
  </si>
  <si>
    <t>on_faint</t>
  </si>
  <si>
    <t>on_ally_faint</t>
  </si>
  <si>
    <t>on_kill</t>
  </si>
  <si>
    <t>passive</t>
  </si>
  <si>
    <t>damage_reduction</t>
  </si>
  <si>
    <t>boost_attack</t>
  </si>
  <si>
    <t>boost_speed</t>
  </si>
  <si>
    <t>survive_ko</t>
  </si>
  <si>
    <t>recoil_damage</t>
  </si>
  <si>
    <t>Bubble Shield</t>
  </si>
  <si>
    <t>damage_reduction_flat</t>
  </si>
  <si>
    <t>Shell Armor</t>
  </si>
  <si>
    <t>negate_damage</t>
  </si>
  <si>
    <t>first_hit</t>
  </si>
  <si>
    <t>Surf</t>
  </si>
  <si>
    <t>Water Pulse</t>
  </si>
  <si>
    <t>Drizzle</t>
  </si>
  <si>
    <t>summon_weather</t>
  </si>
  <si>
    <t>rain</t>
  </si>
  <si>
    <t>Hydro Cannon</t>
  </si>
  <si>
    <t>summon_screen</t>
  </si>
  <si>
    <t>light_screen</t>
  </si>
  <si>
    <t>Fur Coat</t>
  </si>
  <si>
    <t>immune_to_ability_damage</t>
  </si>
  <si>
    <t>Intimidate</t>
  </si>
  <si>
    <t>Earthquake</t>
  </si>
  <si>
    <t>Bone Club</t>
  </si>
  <si>
    <t>Stealth Rock</t>
  </si>
  <si>
    <t>Battle Armor</t>
  </si>
  <si>
    <t>Sturdy</t>
  </si>
  <si>
    <t>Mega Drain</t>
  </si>
  <si>
    <t>Chlorophyll</t>
  </si>
  <si>
    <t>weather_sun</t>
  </si>
  <si>
    <t>first_last</t>
  </si>
  <si>
    <t>Giga Drain</t>
  </si>
  <si>
    <t>Whirlwind</t>
  </si>
  <si>
    <t>Aerial Ace</t>
  </si>
  <si>
    <t>ignore_damage_reduction</t>
  </si>
  <si>
    <t>Hurricane</t>
  </si>
  <si>
    <t>weather_rain</t>
  </si>
  <si>
    <t>Ember</t>
  </si>
  <si>
    <t>Roost</t>
  </si>
  <si>
    <t>sun</t>
  </si>
  <si>
    <t>Flame Burst</t>
  </si>
  <si>
    <t>Heat Wave</t>
  </si>
  <si>
    <t>Inferno</t>
  </si>
  <si>
    <t>Aftermath</t>
  </si>
  <si>
    <t>Thunder Wave</t>
  </si>
  <si>
    <t>Thunder</t>
  </si>
  <si>
    <t>Moxie</t>
  </si>
  <si>
    <t>Speed Boost</t>
  </si>
  <si>
    <t>Sand Stream</t>
  </si>
  <si>
    <t>sandstorm</t>
  </si>
  <si>
    <t>Huge Power</t>
  </si>
  <si>
    <t>Thick Fat</t>
  </si>
  <si>
    <t>Levitate</t>
  </si>
  <si>
    <t>Solid Rock</t>
  </si>
  <si>
    <t>Serene Grace</t>
  </si>
  <si>
    <t>boost_healing</t>
  </si>
  <si>
    <t>Blaze</t>
  </si>
  <si>
    <t>Rough Skin</t>
  </si>
  <si>
    <t>Guts</t>
  </si>
  <si>
    <t>hp_below_50</t>
  </si>
  <si>
    <t>Sand Force</t>
  </si>
  <si>
    <t>weather_sandstorm</t>
  </si>
  <si>
    <t>Solar Power</t>
  </si>
  <si>
    <t>Friend Guard</t>
  </si>
  <si>
    <t>Flower Gift</t>
  </si>
  <si>
    <t>Cloud Nine</t>
  </si>
  <si>
    <t>Grass</t>
  </si>
  <si>
    <t>Fire</t>
  </si>
  <si>
    <t>Water</t>
  </si>
  <si>
    <t>Flying</t>
  </si>
  <si>
    <t>Electric</t>
  </si>
  <si>
    <t>Flame Body</t>
  </si>
  <si>
    <t>Normal</t>
  </si>
  <si>
    <t>Hyper Cutter</t>
  </si>
  <si>
    <t>Overgrow</t>
  </si>
  <si>
    <t>Rain Dish</t>
  </si>
  <si>
    <t>Rock Head</t>
  </si>
  <si>
    <t>Ground</t>
  </si>
  <si>
    <t>Swift Swim</t>
  </si>
  <si>
    <t>Torrent</t>
  </si>
  <si>
    <t>Leaf Storm</t>
  </si>
  <si>
    <t>Leech Seed</t>
  </si>
  <si>
    <t>Eruption</t>
  </si>
  <si>
    <t>Flame Charge</t>
  </si>
  <si>
    <t>Sunny Day</t>
  </si>
  <si>
    <t>Aqua Jet</t>
  </si>
  <si>
    <t>Aqua Step</t>
  </si>
  <si>
    <t>Bubble</t>
  </si>
  <si>
    <t>Bubble Beam</t>
  </si>
  <si>
    <t>Chilling Water</t>
  </si>
  <si>
    <t>Hydro Pump</t>
  </si>
  <si>
    <t>Scald</t>
  </si>
  <si>
    <t>Target</t>
  </si>
  <si>
    <t>Chance</t>
  </si>
  <si>
    <t>Custom</t>
  </si>
  <si>
    <t>Type</t>
  </si>
  <si>
    <t>self</t>
  </si>
  <si>
    <t>super_effective</t>
  </si>
  <si>
    <t>Effective attacks only hit the user as normal attacks.</t>
  </si>
  <si>
    <t>hp_below_40</t>
  </si>
  <si>
    <t>negate_weather</t>
  </si>
  <si>
    <t>Negates all weather effects.</t>
  </si>
  <si>
    <t>attacker</t>
  </si>
  <si>
    <t>immune_to_debuff</t>
  </si>
  <si>
    <t>enemy_front</t>
  </si>
  <si>
    <t>reduce_attack</t>
  </si>
  <si>
    <t>immune</t>
  </si>
  <si>
    <t>Immune to Ground-type moves.</t>
  </si>
  <si>
    <t>Immune to ability damage.</t>
  </si>
  <si>
    <t>deal_damage</t>
  </si>
  <si>
    <t>Mold Breaker</t>
  </si>
  <si>
    <t>ignore_abilities</t>
  </si>
  <si>
    <t>Magic Guard</t>
  </si>
  <si>
    <t>Cannot be damaged by ability effects.</t>
  </si>
  <si>
    <t>ally_all</t>
  </si>
  <si>
    <t>Gooey</t>
  </si>
  <si>
    <t>reduce_speed</t>
  </si>
  <si>
    <t>enemy_next</t>
  </si>
  <si>
    <t>eruption</t>
  </si>
  <si>
    <t>enemy_all</t>
  </si>
  <si>
    <t>Weak Armor</t>
  </si>
  <si>
    <t>Light Screen</t>
  </si>
  <si>
    <t>all_others</t>
  </si>
  <si>
    <t>overflow_damage</t>
  </si>
  <si>
    <t>Attacks always ignore damage reduction.</t>
  </si>
  <si>
    <t>all</t>
  </si>
  <si>
    <t>enemy_last</t>
  </si>
  <si>
    <t>serene_grace</t>
  </si>
  <si>
    <t>Power Up</t>
  </si>
  <si>
    <t>Target Dummy</t>
  </si>
  <si>
    <t>Rollout</t>
  </si>
  <si>
    <t>Sand Rush</t>
  </si>
  <si>
    <t>heal</t>
  </si>
  <si>
    <t>leech</t>
  </si>
  <si>
    <t>Guardian's Call</t>
  </si>
  <si>
    <t>Frenzy Call</t>
  </si>
  <si>
    <t>Vitalize</t>
  </si>
  <si>
    <t>Tailwind</t>
  </si>
  <si>
    <t>Swift Wind</t>
  </si>
  <si>
    <t>Rear Guard</t>
  </si>
  <si>
    <t>Scout</t>
  </si>
  <si>
    <t>Rainbow Aura</t>
  </si>
  <si>
    <t>Dash</t>
  </si>
  <si>
    <t>Final Charge</t>
  </si>
  <si>
    <t>Will-O-Wisp</t>
  </si>
  <si>
    <t>Leech Life</t>
  </si>
  <si>
    <t>Memento</t>
  </si>
  <si>
    <t>Seismic Toss</t>
  </si>
  <si>
    <t>deal_damage_percent</t>
  </si>
  <si>
    <t>Payback</t>
  </si>
  <si>
    <t>deal_damage_bonus</t>
  </si>
  <si>
    <t>attacked_after</t>
  </si>
  <si>
    <t>Punishment</t>
  </si>
  <si>
    <t>deal_damage_per_buff</t>
  </si>
  <si>
    <t>target_buffed</t>
  </si>
  <si>
    <t>Knock Off</t>
  </si>
  <si>
    <t>Screech</t>
  </si>
  <si>
    <t>boost_damage_taken</t>
  </si>
  <si>
    <t>Leer</t>
  </si>
  <si>
    <t>Growl</t>
  </si>
  <si>
    <t>Fake Out</t>
  </si>
  <si>
    <t>Encore</t>
  </si>
  <si>
    <t>Simple Beam</t>
  </si>
  <si>
    <t>halve_buff_value</t>
  </si>
  <si>
    <t>Toxic Spikes</t>
  </si>
  <si>
    <t>Spikes</t>
  </si>
  <si>
    <t>Whirlpool</t>
  </si>
  <si>
    <t>Overheat</t>
  </si>
  <si>
    <t>Regenerator</t>
  </si>
  <si>
    <t>Multiscale</t>
  </si>
  <si>
    <t>full_hp</t>
  </si>
  <si>
    <t>Stamina</t>
  </si>
  <si>
    <t>damage_reduction_stack</t>
  </si>
  <si>
    <t>Unburden</t>
  </si>
  <si>
    <t>Defiant</t>
  </si>
  <si>
    <t>on_debuff</t>
  </si>
  <si>
    <t>Competitive</t>
  </si>
  <si>
    <t>Baton Pass</t>
  </si>
  <si>
    <t>ally_next</t>
  </si>
  <si>
    <t>transfer_buffs</t>
  </si>
  <si>
    <t>Natural Cure</t>
  </si>
  <si>
    <t>cure_status</t>
  </si>
  <si>
    <t>Healer</t>
  </si>
  <si>
    <t>ally_random</t>
  </si>
  <si>
    <t>Harvest</t>
  </si>
  <si>
    <t>Cheek Pouch</t>
  </si>
  <si>
    <t>on_heal</t>
  </si>
  <si>
    <t>Wish</t>
  </si>
  <si>
    <t>Power Construct</t>
  </si>
  <si>
    <t>Wimp Out</t>
  </si>
  <si>
    <t>Unnerve</t>
  </si>
  <si>
    <t>reduce_healing</t>
  </si>
  <si>
    <t>Battery</t>
  </si>
  <si>
    <t>boost_ability_damage</t>
  </si>
  <si>
    <t>Plus</t>
  </si>
  <si>
    <t>Minus</t>
  </si>
  <si>
    <t>Aroma Veil</t>
  </si>
  <si>
    <t>Flower Veil</t>
  </si>
  <si>
    <t>War Cry</t>
  </si>
  <si>
    <t>Perish Song</t>
  </si>
  <si>
    <t>Shock Wave</t>
  </si>
  <si>
    <t>enemy_random</t>
  </si>
  <si>
    <t>Shockwave</t>
  </si>
  <si>
    <t>Self-Destruct</t>
  </si>
  <si>
    <t>Final Flare</t>
  </si>
  <si>
    <t>Cursed Aura</t>
  </si>
  <si>
    <t>Pulse Bomb</t>
  </si>
  <si>
    <t>Life Drain</t>
  </si>
  <si>
    <t>Vengeful Pulse</t>
  </si>
  <si>
    <t>Anger Lash</t>
  </si>
  <si>
    <t>Vengeance</t>
  </si>
  <si>
    <t>Backlash</t>
  </si>
  <si>
    <t>Bitter End</t>
  </si>
  <si>
    <t>Iron Barbs</t>
  </si>
  <si>
    <t>Vital Strike</t>
  </si>
  <si>
    <t>All allies are immune to speed-lowering effects while this is active.</t>
  </si>
  <si>
    <t>All allies are immune to stat-lowering effects while this is active.</t>
  </si>
  <si>
    <t>enemy_second</t>
  </si>
  <si>
    <t>Attack cannot be lowered.</t>
  </si>
  <si>
    <t>deal_damage_flat</t>
  </si>
  <si>
    <t>ally_behind</t>
  </si>
  <si>
    <t>Protect</t>
  </si>
  <si>
    <t>hp_below_25</t>
  </si>
  <si>
    <t>Sand Veil</t>
  </si>
  <si>
    <t>third_debuff</t>
  </si>
  <si>
    <t>boost_attack_once</t>
  </si>
  <si>
    <t>heal_flat</t>
  </si>
  <si>
    <t>boost_all_stats</t>
  </si>
  <si>
    <t>boost_speed_and_attack</t>
  </si>
  <si>
    <t>boost_hp</t>
  </si>
  <si>
    <t>Count</t>
  </si>
  <si>
    <t>ally_last</t>
  </si>
  <si>
    <t>Splash</t>
  </si>
  <si>
    <t>Splashes around.</t>
  </si>
  <si>
    <t>Sprinter</t>
  </si>
  <si>
    <t>Pick Up</t>
  </si>
  <si>
    <t>player</t>
  </si>
  <si>
    <t>increase_pokedollar</t>
  </si>
  <si>
    <t>boost_damage_taken_once</t>
  </si>
  <si>
    <t>Stealth Pebbels</t>
  </si>
  <si>
    <t>On Kill: add 1 Pokedollar to your Pocket</t>
  </si>
  <si>
    <t>VFXSheet</t>
  </si>
  <si>
    <t>VFXRow</t>
  </si>
  <si>
    <t>buff7</t>
  </si>
  <si>
    <t>buff8</t>
  </si>
  <si>
    <t>ember</t>
  </si>
  <si>
    <t>hp_below_100</t>
  </si>
  <si>
    <t>Rallying Cry</t>
  </si>
  <si>
    <t>sound</t>
  </si>
  <si>
    <t>stats_raised</t>
  </si>
  <si>
    <t>stats_lowered</t>
  </si>
  <si>
    <t>debuff3</t>
  </si>
  <si>
    <t>buff4</t>
  </si>
  <si>
    <t>ability_damage</t>
  </si>
  <si>
    <t>swipe</t>
  </si>
  <si>
    <t>flame3</t>
  </si>
  <si>
    <t>Sniper</t>
  </si>
  <si>
    <t>Tier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</si>
  <si>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</si>
  <si>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</si>
  <si>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</si>
  <si>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</si>
  <si>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</si>
  <si>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</si>
  <si>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</si>
  <si>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</si>
  <si>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</si>
  <si>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</si>
  <si>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Chikorita</t>
  </si>
  <si>
    <t>Treecko</t>
  </si>
  <si>
    <t>Bulba</t>
  </si>
  <si>
    <t>oddish</t>
  </si>
  <si>
    <t>egg</t>
  </si>
  <si>
    <t>Sunkern</t>
  </si>
  <si>
    <t>Cacnea</t>
  </si>
  <si>
    <t>Lilleep</t>
  </si>
  <si>
    <t>Celebi</t>
  </si>
  <si>
    <t>Tropius</t>
  </si>
  <si>
    <t>Sunteam4</t>
  </si>
  <si>
    <t>Sweeper</t>
  </si>
  <si>
    <t>FlameTank</t>
  </si>
  <si>
    <t>Intimitade</t>
  </si>
  <si>
    <t>Flameburst</t>
  </si>
  <si>
    <t>Eeveelution</t>
  </si>
  <si>
    <t>Moltres</t>
  </si>
  <si>
    <t>Torich</t>
  </si>
  <si>
    <t>Cyndaquil</t>
  </si>
  <si>
    <t>Charizard</t>
  </si>
  <si>
    <t>Vulpix</t>
  </si>
  <si>
    <t>Ponyta</t>
  </si>
  <si>
    <t>Numel</t>
  </si>
  <si>
    <t>Growlith</t>
  </si>
  <si>
    <t>Slugma</t>
  </si>
  <si>
    <t>Flaeron</t>
  </si>
  <si>
    <t>Magby</t>
  </si>
  <si>
    <t>Water tank</t>
  </si>
  <si>
    <t>Rainteam2</t>
  </si>
  <si>
    <t>Rainteam3 / Healer3</t>
  </si>
  <si>
    <t>Huge P.</t>
  </si>
  <si>
    <t>Investment</t>
  </si>
  <si>
    <t>Mudkip</t>
  </si>
  <si>
    <t>Totodile</t>
  </si>
  <si>
    <t>Squirtle</t>
  </si>
  <si>
    <t>Slowpoke</t>
  </si>
  <si>
    <t>Psyduck</t>
  </si>
  <si>
    <t>Tentacool</t>
  </si>
  <si>
    <t>Marill</t>
  </si>
  <si>
    <t>Staryu</t>
  </si>
  <si>
    <t>Magickarp</t>
  </si>
  <si>
    <t>Suicune</t>
  </si>
  <si>
    <t>Vapereon</t>
  </si>
  <si>
    <t>Healer2</t>
  </si>
  <si>
    <t>Stat Monster</t>
  </si>
  <si>
    <t>Tank</t>
  </si>
  <si>
    <t>EntryHaz</t>
  </si>
  <si>
    <t>Support</t>
  </si>
  <si>
    <t>Rainteam1</t>
  </si>
  <si>
    <t>Pidgey</t>
  </si>
  <si>
    <t>Spearow</t>
  </si>
  <si>
    <t>Zubat</t>
  </si>
  <si>
    <t>Sycther</t>
  </si>
  <si>
    <t>Hoothoot</t>
  </si>
  <si>
    <t>Skarmory</t>
  </si>
  <si>
    <t>Natu</t>
  </si>
  <si>
    <t>Mantine</t>
  </si>
  <si>
    <t>Wingul</t>
  </si>
  <si>
    <t>Lugia</t>
  </si>
  <si>
    <t>Suicider</t>
  </si>
  <si>
    <t>tank</t>
  </si>
  <si>
    <t>Rainteam4</t>
  </si>
  <si>
    <t>Statmonster</t>
  </si>
  <si>
    <t>Team</t>
  </si>
  <si>
    <t>pikachu</t>
  </si>
  <si>
    <t>Volorb</t>
  </si>
  <si>
    <t>Mareep</t>
  </si>
  <si>
    <t>Electrike</t>
  </si>
  <si>
    <t>Elekid</t>
  </si>
  <si>
    <t>Magnemite</t>
  </si>
  <si>
    <t>Plusle</t>
  </si>
  <si>
    <t>Minum</t>
  </si>
  <si>
    <t>Jolteon</t>
  </si>
  <si>
    <t>Raikou</t>
  </si>
  <si>
    <t>Sandteam2</t>
  </si>
  <si>
    <t>Weak Armor </t>
  </si>
  <si>
    <t>Sandteam3</t>
  </si>
  <si>
    <t>Trample</t>
  </si>
  <si>
    <t>Sandshrew</t>
  </si>
  <si>
    <t>Diglett</t>
  </si>
  <si>
    <t>Geodude</t>
  </si>
  <si>
    <t>Onix</t>
  </si>
  <si>
    <t>Phanpy</t>
  </si>
  <si>
    <t>Larvitar</t>
  </si>
  <si>
    <t>Cubone</t>
  </si>
  <si>
    <t>Trapinch</t>
  </si>
  <si>
    <t>Groudon</t>
  </si>
  <si>
    <t>Suport</t>
  </si>
  <si>
    <t>Healer4</t>
  </si>
  <si>
    <t>support</t>
  </si>
  <si>
    <t>+dmg for faints</t>
  </si>
  <si>
    <t>Healer3</t>
  </si>
  <si>
    <t>Sticky Web</t>
  </si>
  <si>
    <t>Speed+ after hit</t>
  </si>
  <si>
    <t>Trick room</t>
  </si>
  <si>
    <t>Healer5</t>
  </si>
  <si>
    <t>Rattata</t>
  </si>
  <si>
    <t>Meowth</t>
  </si>
  <si>
    <t>Chansey</t>
  </si>
  <si>
    <t>Girafarig</t>
  </si>
  <si>
    <t>Tauros</t>
  </si>
  <si>
    <t>Eevee</t>
  </si>
  <si>
    <t>Snorlax</t>
  </si>
  <si>
    <t>Smeargle</t>
  </si>
  <si>
    <t>Slakoth</t>
  </si>
  <si>
    <t>Whismur</t>
  </si>
  <si>
    <t>Porygon</t>
  </si>
  <si>
    <t>Miltank</t>
  </si>
  <si>
    <t>guts/Sandteam4</t>
  </si>
  <si>
    <t>fire</t>
  </si>
  <si>
    <t>thunder</t>
  </si>
  <si>
    <t>Power Up System</t>
  </si>
  <si>
    <t>spark3</t>
  </si>
  <si>
    <t>Aqua Run</t>
  </si>
  <si>
    <t>Muddy Water</t>
  </si>
  <si>
    <t>Battle Cry</t>
  </si>
  <si>
    <t>Battle Call</t>
  </si>
  <si>
    <t>weather_rain&amp;not_full_hp</t>
  </si>
  <si>
    <t>on_ally_heal</t>
  </si>
  <si>
    <t>priority_move</t>
  </si>
  <si>
    <t>swap_enemies_random</t>
  </si>
  <si>
    <t>ally_is_minus</t>
  </si>
  <si>
    <t>ally_is_plus</t>
  </si>
  <si>
    <t>boost_all_stats_per_ally_type</t>
  </si>
  <si>
    <t>boost_all_stats_per_enemy_type</t>
  </si>
  <si>
    <t>boost_speed_flat</t>
  </si>
  <si>
    <t>deal_damage_source_hp</t>
  </si>
  <si>
    <t>blast</t>
  </si>
  <si>
    <t>Thunder Shock</t>
  </si>
  <si>
    <t>Battle Drum</t>
  </si>
  <si>
    <t>heal_damage_dealt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</si>
</sst>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6E4F0"/>
      </patternFill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FF6B35"/>
      </patternFill>
    </fill>
    <fill>
      <patternFill patternType="solid">
        <fgColor rgb="FF4A90D9"/>
      </patternFill>
    </fill>
    <fill>
      <patternFill patternType="solid">
        <fgColor rgb="FFA890F0"/>
      </patternFill>
    </fill>
    <fill>
      <patternFill patternType="solid">
        <fgColor rgb="FFF7D02C"/>
      </patternFill>
    </fill>
    <fill>
      <patternFill patternType="solid">
        <fgColor rgb="FFA8A878"/>
      </patternFill>
    </fill>
    <fill>
      <patternFill patternType="solid">
        <fgColor rgb="FFE0C068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" fillId="11" borderId="1" xfId="0" applyFont="1" applyFill="1" applyBorder="1" applyAlignment="1">
      <alignment horizontal="left" vertical="center"/>
    </xf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9B751-29A0-4CEF-B396-6EAA312E05E2}">
  <sheetPr codeName="Sheet3"/>
  <dimension ref="A1:T387"/>
  <sheetViews>
    <sheetView zoomScale="81" zoomScaleNormal="81" workbookViewId="0">
      <pane ySplit="1" topLeftCell="A2" activePane="bottomLeft" state="frozen"/>
      <selection pane="bottomLeft" activeCell="F91" sqref="F91"/>
    </sheetView>
  </sheetViews>
  <sheetFormatPr defaultColWidth="15.7109375" defaultRowHeight="15" x14ac:dyDescent="0.25"/>
  <cols>
    <col min="1" max="1" width="5.42578125" style="12" bestFit="1" customWidth="1"/>
    <col min="2" max="2" width="18.85546875" style="12" bestFit="1" customWidth="1"/>
    <col min="3" max="3" width="15.140625" style="12" bestFit="1" customWidth="1"/>
    <col min="4" max="4" width="15.7109375" style="12" bestFit="1" customWidth="1"/>
    <col min="5" max="5" width="9.42578125" style="12" bestFit="1" customWidth="1"/>
    <col min="6" max="6" width="27" style="12" bestFit="1" customWidth="1"/>
    <col min="7" max="7" width="12.28515625" style="12" bestFit="1" customWidth="1"/>
    <col min="8" max="8" width="19.85546875" style="12" bestFit="1" customWidth="1"/>
    <col min="9" max="9" width="11" style="12" bestFit="1" customWidth="1"/>
    <col min="10" max="10" width="14" style="12" bestFit="1" customWidth="1"/>
    <col min="11" max="12" width="14" style="12" customWidth="1"/>
    <col min="13" max="13" width="15" style="12" bestFit="1" customWidth="1"/>
    <col min="14" max="14" width="90.140625" style="12" bestFit="1" customWidth="1"/>
    <col min="15" max="15" width="10.5703125" bestFit="1" customWidth="1"/>
    <col min="16" max="16" width="8.7109375" bestFit="1" customWidth="1"/>
  </cols>
  <sheetData>
    <row r="1" spans="1:20" ht="22.15" customHeight="1" x14ac:dyDescent="0.25">
      <c r="A1" s="11" t="s">
        <v>0</v>
      </c>
      <c r="B1" s="11" t="s">
        <v>1</v>
      </c>
      <c r="C1" s="11" t="s">
        <v>3</v>
      </c>
      <c r="D1" s="11" t="s">
        <v>110</v>
      </c>
      <c r="E1" s="11" t="s">
        <v>248</v>
      </c>
      <c r="F1" s="11" t="s">
        <v>4</v>
      </c>
      <c r="G1" s="11" t="s">
        <v>5</v>
      </c>
      <c r="H1" s="11" t="s">
        <v>6</v>
      </c>
      <c r="I1" s="11" t="s">
        <v>111</v>
      </c>
      <c r="J1" s="11" t="s">
        <v>112</v>
      </c>
      <c r="K1" s="11" t="s">
        <v>259</v>
      </c>
      <c r="L1" s="11" t="s">
        <v>260</v>
      </c>
      <c r="M1" s="11" t="s">
        <v>266</v>
      </c>
      <c r="N1" s="11" t="s">
        <v>2</v>
      </c>
      <c r="O1" s="3" t="s">
        <v>113</v>
      </c>
      <c r="P1" s="3"/>
      <c r="Q1" s="3"/>
      <c r="R1" s="3"/>
      <c r="S1" s="3"/>
      <c r="T1" s="3"/>
    </row>
    <row r="2" spans="1:20" x14ac:dyDescent="0.25">
      <c r="A2" s="2">
        <v>1</v>
      </c>
      <c r="B2" s="2" t="s">
        <v>43</v>
      </c>
      <c r="C2" s="2" t="s">
        <v>18</v>
      </c>
      <c r="D2" s="2" t="s">
        <v>114</v>
      </c>
      <c r="E2" s="2"/>
      <c r="F2" s="2" t="s">
        <v>19</v>
      </c>
      <c r="G2" s="2">
        <v>0.67</v>
      </c>
      <c r="H2" s="2" t="s">
        <v>115</v>
      </c>
      <c r="I2" s="2"/>
      <c r="J2" s="2"/>
      <c r="K2" s="2"/>
      <c r="L2" s="2"/>
      <c r="M2" s="2"/>
      <c r="N2" s="2" t="s">
        <v>116</v>
      </c>
      <c r="O2" s="9" t="s">
        <v>90</v>
      </c>
      <c r="P2" s="9" t="s">
        <v>90</v>
      </c>
    </row>
    <row r="3" spans="1:20" x14ac:dyDescent="0.25">
      <c r="A3" s="1">
        <v>2</v>
      </c>
      <c r="B3" s="1" t="s">
        <v>74</v>
      </c>
      <c r="C3" s="1" t="s">
        <v>14</v>
      </c>
      <c r="D3" s="1" t="s">
        <v>114</v>
      </c>
      <c r="E3" s="1"/>
      <c r="F3" s="1" t="s">
        <v>243</v>
      </c>
      <c r="G3" s="1">
        <v>1.25</v>
      </c>
      <c r="H3" s="1" t="s">
        <v>117</v>
      </c>
      <c r="I3" s="1"/>
      <c r="J3" s="1"/>
      <c r="K3" s="1" t="s">
        <v>262</v>
      </c>
      <c r="L3" s="1">
        <v>0</v>
      </c>
      <c r="M3" s="1" t="s">
        <v>267</v>
      </c>
      <c r="N3" s="1" t="str">
        <f>IF(C3="passive","",IF(C3="on_battle_start","On Battle Start: ",IF(C3="on_hit","On Hit: ",IF(C3="on_round_start","On Round Start: ",IF(C3="after_attack","After Attack: ",IF(C3="on_attack","On Attack: ",IF(C3="on_faint","On Faint: ",IF(C3="before_attack","Before Attack: ",IF(C3="before_hit","Before Hit: ",IF(C3="on_ally_faint","On Ally Faint: ",IF(C3="on_kill","On Kill: ",IF(C3="on_debuff","On Debuff: ",IF(C3="on_heal","On Heal: ","")))))))))))))&amp;"Boosts attacks by "&amp;TEXT((G3-1)*100,"0")&amp;"% when below 40% HP."</f>
        <v>On Hit: Boosts attacks by 25% when below 40% HP.</v>
      </c>
      <c r="O3" s="5" t="s">
        <v>85</v>
      </c>
      <c r="P3" s="5" t="s">
        <v>85</v>
      </c>
    </row>
    <row r="4" spans="1:20" x14ac:dyDescent="0.25">
      <c r="A4" s="2">
        <v>3</v>
      </c>
      <c r="B4" s="2" t="s">
        <v>46</v>
      </c>
      <c r="C4" s="2" t="s">
        <v>18</v>
      </c>
      <c r="D4" s="2" t="s">
        <v>114</v>
      </c>
      <c r="E4" s="2"/>
      <c r="F4" s="2" t="s">
        <v>21</v>
      </c>
      <c r="G4" s="2">
        <v>2</v>
      </c>
      <c r="H4" s="2" t="s">
        <v>47</v>
      </c>
      <c r="I4" s="2"/>
      <c r="J4" s="2"/>
      <c r="K4" s="2" t="s">
        <v>262</v>
      </c>
      <c r="L4" s="2">
        <v>3</v>
      </c>
      <c r="M4" s="2" t="s">
        <v>267</v>
      </c>
      <c r="N4" s="2" t="str">
        <f>IF(G4=2,"Doubles Speed","Boosts Speed by "&amp;TEXT((G4-1)*100,"0")&amp;"% ")&amp;" in harsh sunlight."</f>
        <v>Doubles Speed in harsh sunlight.</v>
      </c>
      <c r="O4" s="4" t="s">
        <v>84</v>
      </c>
      <c r="P4" s="4" t="s">
        <v>84</v>
      </c>
    </row>
    <row r="5" spans="1:20" x14ac:dyDescent="0.25">
      <c r="A5" s="1">
        <v>4</v>
      </c>
      <c r="B5" s="1" t="s">
        <v>83</v>
      </c>
      <c r="C5" s="1" t="s">
        <v>18</v>
      </c>
      <c r="D5" s="1" t="s">
        <v>114</v>
      </c>
      <c r="E5" s="1"/>
      <c r="F5" s="1" t="s">
        <v>118</v>
      </c>
      <c r="G5" s="1"/>
      <c r="H5" s="1"/>
      <c r="I5" s="1"/>
      <c r="J5" s="1"/>
      <c r="K5" s="1"/>
      <c r="L5" s="1"/>
      <c r="M5" s="1"/>
      <c r="N5" s="1" t="s">
        <v>119</v>
      </c>
      <c r="O5" s="9" t="s">
        <v>90</v>
      </c>
      <c r="P5" s="6" t="s">
        <v>86</v>
      </c>
    </row>
    <row r="6" spans="1:20" x14ac:dyDescent="0.25">
      <c r="A6" s="2">
        <v>5</v>
      </c>
      <c r="B6" s="2" t="s">
        <v>31</v>
      </c>
      <c r="C6" s="2" t="s">
        <v>8</v>
      </c>
      <c r="D6" s="2" t="s">
        <v>114</v>
      </c>
      <c r="E6" s="2"/>
      <c r="F6" s="2" t="s">
        <v>32</v>
      </c>
      <c r="G6" s="2" t="s">
        <v>33</v>
      </c>
      <c r="H6" s="2"/>
      <c r="I6" s="2"/>
      <c r="J6" s="2"/>
      <c r="K6" s="2" t="s">
        <v>270</v>
      </c>
      <c r="L6" s="2">
        <v>2</v>
      </c>
      <c r="M6" s="2"/>
      <c r="N6" s="2" t="str">
        <f>IF(C6="passive","",IF(C6="on_battle_start","On Battle Start: ",IF(C6="on_hit","On Hit: ",IF(C6="on_round_start","On Round Start: ",IF(C6="after_attack","After Attack: ",IF(C6="on_attack","On Attack: ",IF(C6="on_faint","On Faint: ",IF(C6="before_attack","Before Attack: ",IF(C6="before_hit","Before Hit: ",IF(C6="on_ally_faint","On Ally Faint: ",IF(C6="on_kill","On Kill: ",IF(C6="on_debuff","On Debuff: ",IF(C6="on_heal","On Heal: ","")))))))))))))&amp;"Summons rain."</f>
        <v>On Battle Start: Summons rain.</v>
      </c>
      <c r="O6" s="6" t="s">
        <v>86</v>
      </c>
      <c r="P6" s="10" t="s">
        <v>95</v>
      </c>
    </row>
    <row r="7" spans="1:20" x14ac:dyDescent="0.25">
      <c r="A7" s="1">
        <v>6</v>
      </c>
      <c r="B7" s="1" t="s">
        <v>102</v>
      </c>
      <c r="C7" s="1" t="s">
        <v>8</v>
      </c>
      <c r="D7" s="1" t="s">
        <v>114</v>
      </c>
      <c r="E7" s="1"/>
      <c r="F7" s="1" t="s">
        <v>32</v>
      </c>
      <c r="G7" s="1" t="s">
        <v>57</v>
      </c>
      <c r="H7" s="1"/>
      <c r="I7" s="1"/>
      <c r="J7" s="1"/>
      <c r="K7" s="1" t="s">
        <v>270</v>
      </c>
      <c r="L7" s="1">
        <v>0</v>
      </c>
      <c r="M7" s="1"/>
      <c r="N7" s="1" t="str">
        <f>IF(C7="passive","",IF(C7="on_battle_start","On Battle Start: ",IF(C7="on_hit","On Hit: ",IF(C7="on_round_start","On Round Start: ",IF(C7="after_attack","After Attack: ",IF(C7="on_attack","On Attack: ",IF(C7="on_faint","On Faint: ",IF(C7="before_attack","Before Attack: ",IF(C7="before_hit","Before Hit: ",IF(C7="on_ally_faint","On Ally Faint: ",IF(C7="on_kill","On Kill: ",IF(C7="on_debuff","On Debuff: ",IF(C7="on_heal","On Heal: ","")))))))))))))&amp;"Summons harsh sunlight."</f>
        <v>On Battle Start: Summons harsh sunlight.</v>
      </c>
      <c r="O7" s="5" t="s">
        <v>85</v>
      </c>
      <c r="P7" s="7" t="s">
        <v>87</v>
      </c>
    </row>
    <row r="8" spans="1:20" x14ac:dyDescent="0.25">
      <c r="A8" s="2">
        <v>7</v>
      </c>
      <c r="B8" s="2" t="s">
        <v>89</v>
      </c>
      <c r="C8" s="2" t="s">
        <v>14</v>
      </c>
      <c r="D8" s="2" t="s">
        <v>120</v>
      </c>
      <c r="E8" s="2"/>
      <c r="F8" s="2" t="s">
        <v>123</v>
      </c>
      <c r="G8" s="2">
        <v>0.8</v>
      </c>
      <c r="H8" s="2"/>
      <c r="I8" s="2"/>
      <c r="J8" s="2"/>
      <c r="K8" s="2" t="s">
        <v>269</v>
      </c>
      <c r="L8" s="2">
        <v>0</v>
      </c>
      <c r="M8" s="2" t="s">
        <v>268</v>
      </c>
      <c r="N8" s="2" t="str">
        <f>IF(C8="passive","",IF(C8="on_battle_start","On Battle Start: ",IF(C8="on_hit","On Hit: ",IF(C8="on_round_start","On Round Start: ",IF(C8="after_attack","After Attack: ",IF(C8="on_attack","On Attack: ",IF(C8="on_faint","On Faint: ",IF(C8="before_attack","Before Attack: ",IF(C8="before_hit","Before Hit: ",IF(C8="on_ally_faint","On Ally Faint: ",IF(C8="on_kill","On Kill: ",IF(C8="on_debuff","On Debuff: ",IF(C8="on_heal","On Heal: ","")))))))))))))&amp;"Attacker loses "&amp;TEXT((1-G8)*100,"0")&amp;"% of attack damage after hitting the user."</f>
        <v>On Hit: Attacker loses 20% of attack damage after hitting the user.</v>
      </c>
      <c r="O8" s="5" t="s">
        <v>85</v>
      </c>
      <c r="P8" s="8" t="s">
        <v>88</v>
      </c>
    </row>
    <row r="9" spans="1:20" x14ac:dyDescent="0.25">
      <c r="A9" s="1">
        <v>8</v>
      </c>
      <c r="B9" s="1" t="s">
        <v>68</v>
      </c>
      <c r="C9" s="1" t="s">
        <v>18</v>
      </c>
      <c r="D9" s="1" t="s">
        <v>114</v>
      </c>
      <c r="E9" s="1"/>
      <c r="F9" s="1" t="s">
        <v>20</v>
      </c>
      <c r="G9" s="1">
        <v>2</v>
      </c>
      <c r="H9" s="1"/>
      <c r="I9" s="1"/>
      <c r="J9" s="1"/>
      <c r="K9" s="1" t="s">
        <v>262</v>
      </c>
      <c r="L9" s="1">
        <v>2</v>
      </c>
      <c r="M9" s="1" t="s">
        <v>267</v>
      </c>
      <c r="N9" s="1" t="str">
        <f>IF(G9=2,"Doubles the Pokémon's Attack stat.","Raises the Pokémon's Attack by "&amp;TEXT((G9-1)*100,"0")&amp;"%.")</f>
        <v>Doubles the Pokémon's Attack stat.</v>
      </c>
      <c r="O9" s="9" t="s">
        <v>90</v>
      </c>
    </row>
    <row r="10" spans="1:20" x14ac:dyDescent="0.25">
      <c r="A10" s="2">
        <v>9</v>
      </c>
      <c r="B10" s="2" t="s">
        <v>91</v>
      </c>
      <c r="C10" s="2" t="s">
        <v>18</v>
      </c>
      <c r="D10" s="2" t="s">
        <v>114</v>
      </c>
      <c r="E10" s="2"/>
      <c r="F10" s="2" t="s">
        <v>121</v>
      </c>
      <c r="G10" s="2"/>
      <c r="H10" s="2"/>
      <c r="I10" s="2"/>
      <c r="J10" s="2"/>
      <c r="K10" s="2"/>
      <c r="L10" s="2"/>
      <c r="M10" s="2"/>
      <c r="N10" s="2" t="s">
        <v>236</v>
      </c>
      <c r="O10" s="9" t="s">
        <v>90</v>
      </c>
    </row>
    <row r="11" spans="1:20" x14ac:dyDescent="0.25">
      <c r="A11" s="1">
        <v>10</v>
      </c>
      <c r="B11" s="1" t="s">
        <v>39</v>
      </c>
      <c r="C11" s="1" t="s">
        <v>8</v>
      </c>
      <c r="D11" s="1" t="s">
        <v>122</v>
      </c>
      <c r="E11" s="1">
        <v>1</v>
      </c>
      <c r="F11" s="1" t="s">
        <v>123</v>
      </c>
      <c r="G11" s="1">
        <v>0.7</v>
      </c>
      <c r="H11" s="1"/>
      <c r="I11" s="1"/>
      <c r="J11" s="1"/>
      <c r="K11" s="1" t="s">
        <v>269</v>
      </c>
      <c r="L11" s="1"/>
      <c r="M11" s="1"/>
      <c r="N11" s="1" t="str">
        <f>IF(C11="passive","",IF(C11="on_battle_start","On Battle Start: ",IF(C11="on_hit","On Hit: ",IF(C11="on_round_start","On Round Start: ",IF(C11="after_attack","After Attack: ",IF(C11="on_attack","On Attack: ",IF(C11="on_faint","On Faint: ",IF(C11="before_attack","Before Attack: ",IF(C11="before_hit","Before Hit: ",IF(C11="on_ally_faint","On Ally Faint: ",IF(C11="on_kill","On Kill: ",IF(C11="on_debuff","On Debuff: ",IF(C11="on_heal","On Heal: ","")))))))))))))&amp;"Lowers the attack damage of the first enemy Pokémon by "&amp;TEXT((1-G11)*100,"0")&amp;"%."</f>
        <v>On Battle Start: Lowers the attack damage of the first enemy Pokémon by 30%.</v>
      </c>
      <c r="O11" s="9" t="s">
        <v>90</v>
      </c>
    </row>
    <row r="12" spans="1:20" x14ac:dyDescent="0.25">
      <c r="A12" s="2">
        <v>11</v>
      </c>
      <c r="B12" s="2" t="s">
        <v>70</v>
      </c>
      <c r="C12" s="2" t="s">
        <v>18</v>
      </c>
      <c r="D12" s="2" t="s">
        <v>114</v>
      </c>
      <c r="E12" s="2"/>
      <c r="F12" s="2" t="s">
        <v>124</v>
      </c>
      <c r="G12" s="2"/>
      <c r="H12" s="2" t="s">
        <v>95</v>
      </c>
      <c r="I12" s="2"/>
      <c r="J12" s="2"/>
      <c r="K12" s="2"/>
      <c r="L12" s="2"/>
      <c r="M12" s="2"/>
      <c r="N12" s="2" t="s">
        <v>125</v>
      </c>
      <c r="O12" s="9" t="s">
        <v>90</v>
      </c>
    </row>
    <row r="13" spans="1:20" x14ac:dyDescent="0.25">
      <c r="A13" s="1">
        <v>12</v>
      </c>
      <c r="B13" s="1" t="s">
        <v>92</v>
      </c>
      <c r="C13" s="1" t="s">
        <v>14</v>
      </c>
      <c r="D13" s="1" t="s">
        <v>114</v>
      </c>
      <c r="E13" s="1"/>
      <c r="F13" s="1" t="s">
        <v>243</v>
      </c>
      <c r="G13" s="1">
        <v>1.25</v>
      </c>
      <c r="H13" s="1" t="s">
        <v>117</v>
      </c>
      <c r="I13" s="1"/>
      <c r="J13" s="1"/>
      <c r="K13" s="1" t="s">
        <v>262</v>
      </c>
      <c r="L13" s="1">
        <v>3</v>
      </c>
      <c r="M13" s="1" t="s">
        <v>267</v>
      </c>
      <c r="N13" s="1" t="str">
        <f>IF(C13="passive","",IF(C13="on_battle_start","On Battle Start: ",IF(C13="on_hit","On Hit: ",IF(C13="on_round_start","On Round Start: ",IF(C13="after_attack","After Attack: ",IF(C13="on_attack","On Attack: ",IF(C13="on_faint","On Faint: ",IF(C13="before_attack","Before Attack: ",IF(C13="before_hit","Before Hit: ",IF(C13="on_ally_faint","On Ally Faint: ",IF(C13="on_kill","On Kill: ",IF(C13="on_debuff","On Debuff: ",IF(C13="on_heal","On Heal: ","")))))))))))))&amp;"Boosts attacks by "&amp;TEXT((G13-1)*100,"0")&amp;"% when below 40% HP."</f>
        <v>On Hit: Boosts attacks by 25% when below 40% HP.</v>
      </c>
      <c r="O13" s="4" t="s">
        <v>84</v>
      </c>
    </row>
    <row r="14" spans="1:20" x14ac:dyDescent="0.25">
      <c r="A14" s="2">
        <v>13</v>
      </c>
      <c r="B14" s="2" t="s">
        <v>93</v>
      </c>
      <c r="C14" s="2" t="s">
        <v>9</v>
      </c>
      <c r="D14" s="2" t="s">
        <v>114</v>
      </c>
      <c r="E14" s="2"/>
      <c r="F14" s="2" t="s">
        <v>150</v>
      </c>
      <c r="G14" s="2">
        <v>0.3</v>
      </c>
      <c r="H14" s="2" t="s">
        <v>403</v>
      </c>
      <c r="I14" s="2"/>
      <c r="J14" s="2"/>
      <c r="K14" s="2" t="s">
        <v>261</v>
      </c>
      <c r="L14" s="2">
        <v>2</v>
      </c>
      <c r="M14" s="2" t="s">
        <v>150</v>
      </c>
      <c r="N14" s="2" t="str">
        <f>IF(C14="passive","",IF(C14="on_battle_start","On Battle Start: ",IF(C14="on_hit","On Hit: ",IF(C14="on_round_start","On Round Start: ",IF(C14="after_attack","After Attack: ",IF(C14="on_attack","On Attack: ",IF(C14="on_faint","On Faint: ",IF(C14="before_attack","Before Attack: ",IF(C14="before_hit","Before Hit: ",IF(C14="on_ally_faint","On Ally Faint: ",IF(C14="on_kill","On Kill: ",IF(C14="on_debuff","On Debuff: ",IF(C14="on_heal","On Heal: ","")))))))))))))&amp;"Restores "&amp;TEXT(G14*100,"0")&amp;"% of HP after each turn in rain."</f>
        <v>On Round Start: Restores 30% of HP after each turn in rain.</v>
      </c>
      <c r="O14" s="6" t="s">
        <v>86</v>
      </c>
    </row>
    <row r="15" spans="1:20" x14ac:dyDescent="0.25">
      <c r="A15" s="1">
        <v>14</v>
      </c>
      <c r="B15" s="1" t="s">
        <v>94</v>
      </c>
      <c r="C15" s="1" t="s">
        <v>18</v>
      </c>
      <c r="D15" s="1" t="s">
        <v>114</v>
      </c>
      <c r="E15" s="1"/>
      <c r="F15" s="1" t="s">
        <v>38</v>
      </c>
      <c r="G15" s="1"/>
      <c r="H15" s="1"/>
      <c r="I15" s="1"/>
      <c r="J15" s="1"/>
      <c r="K15" s="1"/>
      <c r="L15" s="1"/>
      <c r="M15" s="1"/>
      <c r="N15" s="1" t="s">
        <v>126</v>
      </c>
      <c r="O15" s="10" t="s">
        <v>95</v>
      </c>
    </row>
    <row r="16" spans="1:20" x14ac:dyDescent="0.25">
      <c r="A16" s="2">
        <v>15</v>
      </c>
      <c r="B16" s="2" t="s">
        <v>66</v>
      </c>
      <c r="C16" s="2" t="s">
        <v>8</v>
      </c>
      <c r="D16" s="2" t="s">
        <v>114</v>
      </c>
      <c r="E16" s="2"/>
      <c r="F16" s="2" t="s">
        <v>32</v>
      </c>
      <c r="G16" s="2" t="s">
        <v>67</v>
      </c>
      <c r="H16" s="2"/>
      <c r="I16" s="2"/>
      <c r="J16" s="2"/>
      <c r="K16" s="2" t="s">
        <v>270</v>
      </c>
      <c r="L16" s="2">
        <v>4</v>
      </c>
      <c r="M16" s="2"/>
      <c r="N16" s="2" t="str">
        <f>IF(C16="passive","",IF(C16="on_battle_start","On Battle Start: ",IF(C16="on_hit","On Hit: ",IF(C16="on_round_start","On Round Start: ",IF(C16="after_attack","After Attack: ",IF(C16="on_attack","On Attack: ",IF(C16="on_faint","On Faint: ",IF(C16="before_attack","Before Attack: ",IF(C16="before_hit","Before Hit: ",IF(C16="on_ally_faint","On Ally Faint: ",IF(C16="on_kill","On Kill: ",IF(C16="on_debuff","On Debuff: ",IF(C16="on_heal","On Heal: ","")))))))))))))&amp;"Summons a sandstorm on entry."</f>
        <v>On Battle Start: Summons a sandstorm on entry.</v>
      </c>
      <c r="O16" s="10" t="s">
        <v>95</v>
      </c>
    </row>
    <row r="17" spans="1:15" x14ac:dyDescent="0.25">
      <c r="A17" s="1">
        <v>16</v>
      </c>
      <c r="B17" s="1" t="s">
        <v>65</v>
      </c>
      <c r="C17" s="1" t="s">
        <v>9</v>
      </c>
      <c r="D17" s="1" t="s">
        <v>114</v>
      </c>
      <c r="E17" s="1"/>
      <c r="F17" s="1" t="s">
        <v>21</v>
      </c>
      <c r="G17" s="1">
        <v>1.05</v>
      </c>
      <c r="H17" s="1"/>
      <c r="I17" s="1"/>
      <c r="J17" s="1"/>
      <c r="K17" s="1" t="s">
        <v>262</v>
      </c>
      <c r="L17" s="1">
        <v>0</v>
      </c>
      <c r="M17" s="1" t="s">
        <v>267</v>
      </c>
      <c r="N17" s="1" t="str">
        <f>IF(C17="passive","",IF(C17="on_battle_start","On Battle Start: ",IF(C17="on_hit","On Hit: ",IF(C17="on_round_start","On Round Start: ",IF(C17="after_attack","After Attack: ",IF(C17="on_attack","On Attack: ",IF(C17="on_faint","On Faint: ",IF(C17="before_attack","Before Attack: ",IF(C17="before_hit","Before Hit: ",IF(C17="on_ally_faint","On Ally Faint: ",IF(C17="on_kill","On Kill: ",IF(C17="on_debuff","On Debuff: ",IF(C17="on_heal","On Heal: ","")))))))))))))&amp;"Increases Speed by "&amp;TEXT((G17-1)*100,"0")&amp;"%."</f>
        <v>On Round Start: Increases Speed by 5%.</v>
      </c>
      <c r="O17" s="9" t="s">
        <v>90</v>
      </c>
    </row>
    <row r="18" spans="1:15" x14ac:dyDescent="0.25">
      <c r="A18" s="2">
        <v>17</v>
      </c>
      <c r="B18" s="2" t="s">
        <v>96</v>
      </c>
      <c r="C18" s="2" t="s">
        <v>18</v>
      </c>
      <c r="D18" s="2" t="s">
        <v>114</v>
      </c>
      <c r="E18" s="2"/>
      <c r="F18" s="2" t="s">
        <v>21</v>
      </c>
      <c r="G18" s="2">
        <v>2</v>
      </c>
      <c r="H18" s="2" t="s">
        <v>54</v>
      </c>
      <c r="I18" s="2"/>
      <c r="J18" s="2"/>
      <c r="K18" s="2" t="s">
        <v>262</v>
      </c>
      <c r="L18" s="2">
        <v>2</v>
      </c>
      <c r="M18" s="2" t="s">
        <v>267</v>
      </c>
      <c r="N18" s="2" t="str">
        <f>IF(G18=2,"Doubles Speed","Boosts Speed by "&amp;TEXT((G18-1)*100,"0")&amp;"%")&amp;" in rain."</f>
        <v>Doubles Speed in rain.</v>
      </c>
      <c r="O18" s="6" t="s">
        <v>86</v>
      </c>
    </row>
    <row r="19" spans="1:15" x14ac:dyDescent="0.25">
      <c r="A19" s="1">
        <v>18</v>
      </c>
      <c r="B19" s="1" t="s">
        <v>97</v>
      </c>
      <c r="C19" s="1" t="s">
        <v>14</v>
      </c>
      <c r="D19" s="1" t="s">
        <v>114</v>
      </c>
      <c r="E19" s="1"/>
      <c r="F19" s="1" t="s">
        <v>243</v>
      </c>
      <c r="G19" s="1">
        <v>1.25</v>
      </c>
      <c r="H19" s="1" t="s">
        <v>117</v>
      </c>
      <c r="I19" s="1"/>
      <c r="J19" s="1"/>
      <c r="K19" s="1" t="s">
        <v>262</v>
      </c>
      <c r="L19" s="1">
        <v>2</v>
      </c>
      <c r="M19" s="1" t="s">
        <v>267</v>
      </c>
      <c r="N19" s="1" t="str">
        <f>IF(C19="passive","",IF(C19="on_battle_start","On Battle Start: ",IF(C19="on_hit","On Hit: ",IF(C19="on_round_start","On Round Start: ",IF(C19="after_attack","After Attack: ",IF(C19="on_attack","On Attack: ",IF(C19="on_faint","On Faint: ",IF(C19="before_attack","Before Attack: ",IF(C19="before_hit","Before Hit: ",IF(C19="on_ally_faint","On Ally Faint: ",IF(C19="on_kill","On Kill: ",IF(C19="on_debuff","On Debuff: ",IF(C19="on_heal","On Heal: ","")))))))))))))&amp;"Boosts attacks by "&amp;TEXT((G19-1)*100,"0")&amp;"% when below 40% HP."</f>
        <v>On Hit: Boosts attacks by 25% when below 40% HP.</v>
      </c>
      <c r="O19" s="6" t="s">
        <v>86</v>
      </c>
    </row>
    <row r="20" spans="1:15" x14ac:dyDescent="0.25">
      <c r="A20" s="2">
        <v>19</v>
      </c>
      <c r="B20" s="2" t="s">
        <v>71</v>
      </c>
      <c r="C20" s="2" t="s">
        <v>18</v>
      </c>
      <c r="D20" s="2" t="s">
        <v>114</v>
      </c>
      <c r="E20" s="2"/>
      <c r="F20" s="2" t="s">
        <v>19</v>
      </c>
      <c r="G20" s="2">
        <v>0.75</v>
      </c>
      <c r="H20" s="2" t="s">
        <v>115</v>
      </c>
      <c r="I20" s="2"/>
      <c r="J20" s="2"/>
      <c r="K20" s="2"/>
      <c r="L20" s="2"/>
      <c r="M20" s="2"/>
      <c r="N20" s="2" t="str">
        <f>"Reduces super-effective damage by "&amp;TEXT((1-G20)*100,"0")&amp;"%."</f>
        <v>Reduces super-effective damage by 25%.</v>
      </c>
      <c r="O20" s="9" t="s">
        <v>90</v>
      </c>
    </row>
    <row r="21" spans="1:15" x14ac:dyDescent="0.25">
      <c r="A21" s="1">
        <v>20</v>
      </c>
      <c r="B21" s="1" t="s">
        <v>44</v>
      </c>
      <c r="C21" s="1" t="s">
        <v>14</v>
      </c>
      <c r="D21" s="1" t="s">
        <v>114</v>
      </c>
      <c r="E21" s="1"/>
      <c r="F21" s="1" t="s">
        <v>22</v>
      </c>
      <c r="G21" s="1"/>
      <c r="H21" s="1"/>
      <c r="I21" s="1"/>
      <c r="J21" s="1"/>
      <c r="K21" s="1"/>
      <c r="L21" s="1"/>
      <c r="M21" s="1"/>
      <c r="N21" s="1" t="str">
        <f>IF(C21="passive","",IF(C21="on_battle_start","On Battle Start: ",IF(C21="on_hit","On Hit: ",IF(C21="on_round_start","On Round Start: ",IF(C21="after_attack","After Attack: ",IF(C21="on_attack","On Attack: ",IF(C21="on_faint","On Faint: ",IF(C21="before_attack","Before Attack: ",IF(C21="before_hit","Before Hit: ",IF(C21="on_ally_faint","On Ally Faint: ",IF(C21="on_kill","On Kill: ",IF(C21="on_debuff","On Debuff: ",IF(C21="on_heal","On Heal: ","")))))))))))))&amp;"Survives any one-hit KO with 1 HP remaining."</f>
        <v>On Hit: Survives any one-hit KO with 1 HP remaining.</v>
      </c>
      <c r="O21" s="9" t="s">
        <v>90</v>
      </c>
    </row>
    <row r="22" spans="1:15" x14ac:dyDescent="0.25">
      <c r="A22" s="2">
        <v>21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9" t="s">
        <v>90</v>
      </c>
    </row>
    <row r="23" spans="1:15" x14ac:dyDescent="0.25">
      <c r="A23" s="1">
        <v>22</v>
      </c>
      <c r="B23" s="1" t="s">
        <v>7</v>
      </c>
      <c r="C23" s="1" t="s">
        <v>12</v>
      </c>
      <c r="D23" s="1" t="s">
        <v>114</v>
      </c>
      <c r="E23" s="1"/>
      <c r="F23" s="1" t="s">
        <v>244</v>
      </c>
      <c r="G23" s="1">
        <v>7</v>
      </c>
      <c r="H23" s="1" t="s">
        <v>264</v>
      </c>
      <c r="I23" s="1"/>
      <c r="J23" s="1"/>
      <c r="K23" s="1" t="s">
        <v>261</v>
      </c>
      <c r="L23" s="1">
        <v>3</v>
      </c>
      <c r="M23" s="1" t="s">
        <v>150</v>
      </c>
      <c r="N23" s="1" t="str">
        <f>IF(C23="passive","",IF(C23="on_battle_start","On Battle Start: ",IF(C23="on_hit","On Hit: ",IF(C23="on_round_start","On Round Start: ",IF(C23="after_attack","After Attack: ",IF(C23="on_attack","On Attack: ",IF(C23="on_faint","On Faint: ",IF(C23="before_attack","Before Attack: ",IF(C23="before_hit","Before Hit: ",IF(C23="on_ally_faint","On Ally Faint: ",IF(C23="on_kill","On Kill: ",IF(C23="on_debuff","On Debuff: ",IF(C23="on_heal","On Heal: ","")))))))))))))&amp;"Recovers "&amp;G23&amp;" HP."</f>
        <v>After Attack: Recovers 7 HP.</v>
      </c>
      <c r="O23" s="4" t="s">
        <v>84</v>
      </c>
    </row>
    <row r="24" spans="1:15" x14ac:dyDescent="0.25">
      <c r="A24" s="2">
        <v>23</v>
      </c>
      <c r="B24" s="2" t="s">
        <v>185</v>
      </c>
      <c r="C24" s="2" t="s">
        <v>12</v>
      </c>
      <c r="D24" s="2" t="s">
        <v>114</v>
      </c>
      <c r="E24" s="2"/>
      <c r="F24" s="2" t="s">
        <v>123</v>
      </c>
      <c r="G24" s="2">
        <v>0.5</v>
      </c>
      <c r="H24" s="2"/>
      <c r="I24" s="2"/>
      <c r="J24" s="2"/>
      <c r="K24" s="2"/>
      <c r="L24" s="2"/>
      <c r="M24" s="2"/>
      <c r="N24" s="2" t="str">
        <f>IF(C24="passive","",IF(C24="on_battle_start","On Battle Start: ",IF(C24="on_hit","On Hit: ",IF(C24="on_round_start","On Round Start: ",IF(C24="after_attack","After Attack: ",IF(C24="on_attack","On Attack: ",IF(C24="on_faint","On Faint: ",IF(C24="before_attack","Before Attack: ",IF(C24="before_hit","Before Hit: ",IF(C24="on_ally_faint","On Ally Faint: ",IF(C24="on_kill","On Kill: ",IF(C24="on_debuff","On Debuff: ",IF(C24="on_heal","On Heal: ","")))))))))))))&amp;"Loses "&amp;TEXT(G24*100,"0")&amp;"% Attack."</f>
        <v>After Attack: Loses 50% Attack.</v>
      </c>
      <c r="O24" s="5" t="s">
        <v>85</v>
      </c>
    </row>
    <row r="25" spans="1:15" x14ac:dyDescent="0.25">
      <c r="A25" s="1">
        <v>24</v>
      </c>
      <c r="B25" s="1" t="s">
        <v>49</v>
      </c>
      <c r="C25" s="1" t="s">
        <v>12</v>
      </c>
      <c r="D25" s="1" t="s">
        <v>114</v>
      </c>
      <c r="E25" s="1"/>
      <c r="F25" s="1" t="s">
        <v>244</v>
      </c>
      <c r="G25" s="1">
        <v>50</v>
      </c>
      <c r="H25" s="1"/>
      <c r="I25" s="1"/>
      <c r="J25" s="1"/>
      <c r="K25" s="1"/>
      <c r="L25" s="1"/>
      <c r="M25" s="1"/>
      <c r="N25" s="1" t="str">
        <f>IF(C25="passive","",IF(C25="on_battle_start","On Battle Start: ",IF(C25="on_hit","On Hit: ",IF(C25="on_round_start","On Round Start: ",IF(C25="after_attack","After Attack: ",IF(C25="on_attack","On Attack: ",IF(C25="on_faint","On Faint: ",IF(C25="before_attack","Before Attack: ",IF(C25="before_hit","Before Hit: ",IF(C25="on_ally_faint","On Ally Faint: ",IF(C25="on_kill","On Kill: ",IF(C25="on_debuff","On Debuff: ",IF(C25="on_heal","On Heal: ","")))))))))))))&amp;"Recovers "&amp;G25&amp;" HP."</f>
        <v>After Attack: Recovers 50 HP.</v>
      </c>
      <c r="O25" s="4" t="s">
        <v>84</v>
      </c>
    </row>
    <row r="26" spans="1:15" x14ac:dyDescent="0.25">
      <c r="A26" s="2">
        <v>25</v>
      </c>
      <c r="B26" s="2" t="s">
        <v>98</v>
      </c>
      <c r="C26" s="2" t="s">
        <v>12</v>
      </c>
      <c r="D26" s="2" t="s">
        <v>114</v>
      </c>
      <c r="E26" s="2"/>
      <c r="F26" s="2" t="s">
        <v>123</v>
      </c>
      <c r="G26" s="2">
        <v>0.5</v>
      </c>
      <c r="H26" s="2"/>
      <c r="I26" s="2"/>
      <c r="J26" s="2"/>
      <c r="K26" s="2"/>
      <c r="L26" s="2"/>
      <c r="M26" s="2"/>
      <c r="N26" s="2" t="str">
        <f>IF(C26="passive","",IF(C26="on_battle_start","On Battle Start: ",IF(C26="on_hit","On Hit: ",IF(C26="on_round_start","On Round Start: ",IF(C26="after_attack","After Attack: ",IF(C26="on_attack","On Attack: ",IF(C26="on_faint","On Faint: ",IF(C26="before_attack","Before Attack: ",IF(C26="before_hit","Before Hit: ",IF(C26="on_ally_faint","On Ally Faint: ",IF(C26="on_kill","On Kill: ",IF(C26="on_debuff","On Debuff: ",IF(C26="on_heal","On Heal: ","")))))))))))))&amp;"The user loses "&amp;TEXT(G26*100,"0")&amp;"% of its Attack."</f>
        <v>After Attack: The user loses 50% of its Attack.</v>
      </c>
      <c r="O26" s="4" t="s">
        <v>84</v>
      </c>
    </row>
    <row r="27" spans="1:15" x14ac:dyDescent="0.25">
      <c r="A27" s="1">
        <v>26</v>
      </c>
      <c r="B27" s="1" t="s">
        <v>99</v>
      </c>
      <c r="C27" s="1" t="s">
        <v>12</v>
      </c>
      <c r="D27" s="1" t="s">
        <v>122</v>
      </c>
      <c r="E27" s="1">
        <v>1</v>
      </c>
      <c r="F27" s="1" t="s">
        <v>151</v>
      </c>
      <c r="G27" s="1">
        <v>0.3</v>
      </c>
      <c r="H27" s="1"/>
      <c r="I27" s="1"/>
      <c r="J27" s="1"/>
      <c r="K27" s="1" t="s">
        <v>398</v>
      </c>
      <c r="L27" s="1">
        <v>3</v>
      </c>
      <c r="M27" s="1" t="s">
        <v>150</v>
      </c>
      <c r="N27" s="1" t="str">
        <f>IF(C27="passive","",IF(C27="on_battle_start","On Battle Start: ",IF(C27="on_hit","On Hit: ",IF(C27="on_round_start","On Round Start: ",IF(C27="after_attack","After Attack: ",IF(C27="on_attack","On Attack: ",IF(C27="on_faint","On Faint: ",IF(C27="before_attack","Before Attack: ",IF(C27="before_hit","Before Hit: ",IF(C27="on_ally_faint","On Ally Faint: ",IF(C27="on_kill","On Kill: ",IF(C27="on_debuff","On Debuff: ",IF(C27="on_heal","On Heal: ","")))))))))))))&amp;"Leeches "&amp;TEXT(G27*100,"0")&amp;"% of the target's max HP."</f>
        <v>After Attack: Leeches 30% of the target's max HP.</v>
      </c>
      <c r="O27" s="4" t="s">
        <v>84</v>
      </c>
    </row>
    <row r="28" spans="1:15" x14ac:dyDescent="0.25">
      <c r="A28" s="2">
        <v>27</v>
      </c>
      <c r="B28" s="2" t="s">
        <v>45</v>
      </c>
      <c r="C28" s="2" t="s">
        <v>12</v>
      </c>
      <c r="D28" s="2" t="s">
        <v>114</v>
      </c>
      <c r="E28" s="2"/>
      <c r="F28" s="2" t="s">
        <v>244</v>
      </c>
      <c r="G28" s="2">
        <v>25</v>
      </c>
      <c r="H28" s="2" t="s">
        <v>264</v>
      </c>
      <c r="I28" s="2"/>
      <c r="J28" s="2"/>
      <c r="K28" s="2" t="s">
        <v>261</v>
      </c>
      <c r="L28" s="2">
        <v>3</v>
      </c>
      <c r="M28" s="2" t="s">
        <v>150</v>
      </c>
      <c r="N28" s="2" t="str">
        <f>IF(C28="passive","",IF(C28="on_battle_start","On Battle Start: ",IF(C28="on_hit","On Hit: ",IF(C28="on_round_start","On Round Start: ",IF(C28="after_attack","After Attack: ",IF(C28="on_attack","On Attack: ",IF(C28="on_faint","On Faint: ",IF(C28="before_attack","Before Attack: ",IF(C28="before_hit","Before Hit: ",IF(C28="on_ally_faint","On Ally Faint: ",IF(C28="on_kill","On Kill: ",IF(C28="on_debuff","On Debuff: ",IF(C28="on_heal","On Heal: ","")))))))))))))&amp;"Recovers "&amp;G28&amp;" HP."</f>
        <v>After Attack: Recovers 25 HP.</v>
      </c>
      <c r="O28" s="4" t="s">
        <v>84</v>
      </c>
    </row>
    <row r="29" spans="1:15" x14ac:dyDescent="0.25">
      <c r="A29" s="1">
        <v>28</v>
      </c>
      <c r="B29" s="1" t="s">
        <v>82</v>
      </c>
      <c r="C29" s="1" t="s">
        <v>18</v>
      </c>
      <c r="D29" s="1" t="s">
        <v>114</v>
      </c>
      <c r="E29" s="1"/>
      <c r="F29" s="1" t="s">
        <v>20</v>
      </c>
      <c r="G29" s="1">
        <v>1.5</v>
      </c>
      <c r="H29" s="1" t="s">
        <v>47</v>
      </c>
      <c r="I29" s="1"/>
      <c r="J29" s="1"/>
      <c r="K29" s="1" t="s">
        <v>262</v>
      </c>
      <c r="L29" s="1">
        <v>3</v>
      </c>
      <c r="M29" s="1" t="s">
        <v>267</v>
      </c>
      <c r="N29" s="1" t="str">
        <f>IF(C29="passive","",IF(C29="on_battle_start","On Battle Start: ",IF(C29="on_hit","On Hit: ",IF(C29="on_round_start","On Round Start: ",IF(C29="after_attack","After Attack: ",IF(C29="on_attack","On Attack: ",IF(C29="on_faint","On Faint: ",IF(C29="before_attack","Before Attack: ",IF(C29="before_hit","Before Hit: ",IF(C29="on_ally_faint","On Ally Faint: ",IF(C29="on_kill","On Kill: ",IF(C29="on_debuff","On Debuff: ",IF(C29="on_heal","On Heal: ","")))))))))))))&amp;"Boosts Attack by "&amp;TEXT((G29-1)*100,"0")&amp;"% during sunlight."</f>
        <v>Boosts Attack by 50% during sunlight.</v>
      </c>
      <c r="O29" s="4" t="s">
        <v>84</v>
      </c>
    </row>
    <row r="30" spans="1:15" x14ac:dyDescent="0.25">
      <c r="A30" s="2">
        <v>29</v>
      </c>
      <c r="B30" s="2" t="s">
        <v>146</v>
      </c>
      <c r="C30" s="2" t="s">
        <v>8</v>
      </c>
      <c r="D30" s="2" t="s">
        <v>201</v>
      </c>
      <c r="E30" s="2"/>
      <c r="F30" s="2" t="s">
        <v>245</v>
      </c>
      <c r="G30" s="2">
        <v>1.05</v>
      </c>
      <c r="H30" s="2"/>
      <c r="I30" s="2"/>
      <c r="J30" s="2"/>
      <c r="K30" s="2" t="s">
        <v>262</v>
      </c>
      <c r="L30" s="2">
        <v>4</v>
      </c>
      <c r="M30" s="2" t="s">
        <v>267</v>
      </c>
      <c r="N30" s="2" t="str">
        <f>IF(C30="passive","",IF(C30="on_battle_start","On Battle Start: ",IF(C30="on_hit","On Hit: ",IF(C30="on_round_start","On Round Start: ",IF(C30="after_attack","After Attack: ",IF(C30="on_attack","On Attack: ",IF(C30="on_faint","On Faint: ",IF(C30="before_attack","Before Attack: ",IF(C30="before_hit","Before Hit: ",IF(C30="on_ally_faint","On Ally Faint: ",IF(C30="on_kill","On Kill: ",IF(C30="on_debuff","On Debuff: ",IF(C30="on_heal","On Heal: ","")))))))))))))&amp;"A random ally increases all stats by "&amp;TEXT((G30-1)*100,"0")&amp;"%."</f>
        <v>On Battle Start: A random ally increases all stats by 5%.</v>
      </c>
    </row>
    <row r="31" spans="1:15" x14ac:dyDescent="0.25">
      <c r="A31" s="1">
        <v>30</v>
      </c>
      <c r="B31" s="1" t="s">
        <v>78</v>
      </c>
      <c r="C31" s="1" t="s">
        <v>18</v>
      </c>
      <c r="D31" s="1" t="s">
        <v>114</v>
      </c>
      <c r="E31" s="1"/>
      <c r="F31" s="1" t="s">
        <v>20</v>
      </c>
      <c r="G31" s="1">
        <v>1.5</v>
      </c>
      <c r="H31" s="1" t="s">
        <v>79</v>
      </c>
      <c r="I31" s="1"/>
      <c r="J31" s="1"/>
      <c r="K31" s="1" t="s">
        <v>262</v>
      </c>
      <c r="L31" s="1"/>
      <c r="M31" s="1"/>
      <c r="N31" s="1" t="str">
        <f>"Boosts Attack by "&amp;TEXT((G31-1)*100,"0")&amp;"% during a sandstorm."</f>
        <v>Boosts Attack by 50% during a sandstorm.</v>
      </c>
      <c r="O31" s="10" t="s">
        <v>95</v>
      </c>
    </row>
    <row r="32" spans="1:15" x14ac:dyDescent="0.25">
      <c r="A32" s="2">
        <v>31</v>
      </c>
      <c r="B32" s="2" t="s">
        <v>146</v>
      </c>
      <c r="C32" s="2" t="s">
        <v>16</v>
      </c>
      <c r="D32" s="2" t="s">
        <v>114</v>
      </c>
      <c r="E32" s="2"/>
      <c r="F32" s="2" t="s">
        <v>21</v>
      </c>
      <c r="G32" s="2">
        <v>1.2</v>
      </c>
      <c r="H32" s="2"/>
      <c r="I32" s="2"/>
      <c r="J32" s="2"/>
      <c r="K32" s="2" t="s">
        <v>262</v>
      </c>
      <c r="L32" s="2"/>
      <c r="M32" s="2"/>
      <c r="N32" s="2" t="str">
        <f>IF(C32="passive","",IF(C32="on_battle_start","On Battle Start: ",IF(C32="on_hit","On Hit: ",IF(C32="on_round_start","On Round Start: ",IF(C32="after_attack","After Attack: ",IF(C32="on_attack","On Attack: ",IF(C32="on_faint","On Faint: ",IF(C32="before_attack","Before Attack: ",IF(C32="before_hit","Before Hit: ",IF(C32="on_ally_faint","On Ally Faint: ",IF(C32="on_kill","On Kill: ",IF(C32="on_debuff","On Debuff: ",IF(C32="on_heal","On Heal: ","")))))))))))))&amp;"Raises Speed by "&amp;TEXT((G32-1)*100,"0")&amp;"% for each ally that has fainted."</f>
        <v>On Ally Faint: Raises Speed by 20% for each ally that has fainted.</v>
      </c>
      <c r="O32" s="9" t="s">
        <v>90</v>
      </c>
    </row>
    <row r="33" spans="1:15" x14ac:dyDescent="0.25">
      <c r="A33" s="1">
        <v>32</v>
      </c>
      <c r="B33" s="1" t="s">
        <v>64</v>
      </c>
      <c r="C33" s="1" t="s">
        <v>17</v>
      </c>
      <c r="D33" s="1" t="s">
        <v>114</v>
      </c>
      <c r="E33" s="1"/>
      <c r="F33" s="1" t="s">
        <v>20</v>
      </c>
      <c r="G33" s="1">
        <v>1.5</v>
      </c>
      <c r="H33" s="1"/>
      <c r="I33" s="1"/>
      <c r="J33" s="1"/>
      <c r="K33" s="1" t="s">
        <v>262</v>
      </c>
      <c r="L33" s="1"/>
      <c r="M33" s="1"/>
      <c r="N33" s="1" t="str">
        <f>IF(C33="passive","",IF(C33="on_battle_start","On Battle Start: ",IF(C33="on_hit","On Hit: ",IF(C33="on_round_start","On Round Start: ",IF(C33="after_attack","After Attack: ",IF(C33="on_attack","On Attack: ",IF(C33="on_faint","On Faint: ",IF(C33="before_attack","Before Attack: ",IF(C33="before_hit","Before Hit: ",IF(C33="on_ally_faint","On Ally Faint: ",IF(C33="on_kill","On Kill: ",IF(C33="on_debuff","On Debuff: ",IF(C33="on_heal","On Heal: ","")))))))))))))&amp;"Raises Attack by 50%."</f>
        <v>On Kill: Raises Attack by 50%.</v>
      </c>
      <c r="O33" s="9" t="s">
        <v>90</v>
      </c>
    </row>
    <row r="34" spans="1:15" x14ac:dyDescent="0.25">
      <c r="A34" s="2">
        <v>33</v>
      </c>
      <c r="B34" s="2" t="s">
        <v>128</v>
      </c>
      <c r="C34" s="2" t="s">
        <v>18</v>
      </c>
      <c r="D34" s="2" t="s">
        <v>114</v>
      </c>
      <c r="E34" s="2"/>
      <c r="F34" s="2" t="s">
        <v>129</v>
      </c>
      <c r="G34" s="2"/>
      <c r="H34" s="2"/>
      <c r="I34" s="2"/>
      <c r="J34" s="2"/>
      <c r="K34" s="2"/>
      <c r="L34" s="2"/>
      <c r="M34" s="2"/>
      <c r="N34" s="2"/>
      <c r="O34" s="10" t="s">
        <v>95</v>
      </c>
    </row>
    <row r="35" spans="1:15" x14ac:dyDescent="0.25">
      <c r="A35" s="1">
        <v>34</v>
      </c>
      <c r="B35" s="1" t="s">
        <v>130</v>
      </c>
      <c r="C35" s="1" t="s">
        <v>18</v>
      </c>
      <c r="D35" s="1" t="s">
        <v>114</v>
      </c>
      <c r="E35" s="1"/>
      <c r="F35" s="1" t="s">
        <v>38</v>
      </c>
      <c r="G35" s="1"/>
      <c r="H35" s="1"/>
      <c r="I35" s="1"/>
      <c r="J35" s="1"/>
      <c r="K35" s="1"/>
      <c r="L35" s="1"/>
      <c r="M35" s="1"/>
      <c r="N35" s="1" t="s">
        <v>131</v>
      </c>
      <c r="O35" s="9" t="s">
        <v>90</v>
      </c>
    </row>
    <row r="36" spans="1:15" x14ac:dyDescent="0.25">
      <c r="A36" s="2">
        <v>35</v>
      </c>
      <c r="B36" s="2" t="s">
        <v>147</v>
      </c>
      <c r="C36" s="2" t="s">
        <v>14</v>
      </c>
      <c r="D36" s="2" t="s">
        <v>132</v>
      </c>
      <c r="E36" s="2"/>
      <c r="F36" s="2" t="s">
        <v>20</v>
      </c>
      <c r="G36" s="2">
        <v>1.1000000000000001</v>
      </c>
      <c r="H36" s="2"/>
      <c r="I36" s="2"/>
      <c r="J36" s="2"/>
      <c r="K36" s="2" t="s">
        <v>262</v>
      </c>
      <c r="L36" s="2"/>
      <c r="M36" s="2"/>
      <c r="N36" s="2" t="str">
        <f>IF(C36="passive","",IF(C36="on_battle_start","On Battle Start: ",IF(C36="on_hit","On Hit: ",IF(C36="on_round_start","On Round Start: ",IF(C36="after_attack","After Attack: ",IF(C36="on_attack","On Attack: ",IF(C36="on_faint","On Faint: ",IF(C36="before_attack","Before Attack: ",IF(C36="before_hit","Before Hit: ",IF(C36="on_ally_faint","On Ally Faint: ",IF(C36="on_kill","On Kill: ",IF(C36="on_debuff","On Debuff: ",IF(C36="on_heal","On Heal: ","")))))))))))))&amp;"Raises all allies' Attack by "&amp;TEXT((G36-1)*100,"0")&amp;"%."</f>
        <v>On Hit: Raises all allies' Attack by 10%.</v>
      </c>
      <c r="O36" s="9" t="s">
        <v>90</v>
      </c>
    </row>
    <row r="37" spans="1:15" x14ac:dyDescent="0.25">
      <c r="A37" s="1">
        <v>36</v>
      </c>
      <c r="B37" s="1" t="s">
        <v>133</v>
      </c>
      <c r="C37" s="1" t="s">
        <v>14</v>
      </c>
      <c r="D37" s="1" t="s">
        <v>120</v>
      </c>
      <c r="E37" s="1"/>
      <c r="F37" s="1" t="s">
        <v>134</v>
      </c>
      <c r="G37" s="1">
        <v>0.8</v>
      </c>
      <c r="H37" s="1"/>
      <c r="I37" s="1"/>
      <c r="J37" s="1"/>
      <c r="K37" s="1" t="s">
        <v>269</v>
      </c>
      <c r="L37" s="1"/>
      <c r="M37" s="1"/>
      <c r="N37" s="1" t="str">
        <f>IF(C37="passive","",IF(C37="on_battle_start","On Battle Start: ",IF(C37="on_hit","On Hit: ",IF(C37="on_round_start","On Round Start: ",IF(C37="after_attack","After Attack: ",IF(C37="on_attack","On Attack: ",IF(C37="on_faint","On Faint: ",IF(C37="before_attack","Before Attack: ",IF(C37="before_hit","Before Hit: ",IF(C37="on_ally_faint","On Ally Faint: ",IF(C37="on_kill","On Kill: ",IF(C37="on_debuff","On Debuff: ",IF(C37="on_heal","On Heal: ","")))))))))))))&amp;"Reduces the attacker's Speed by "&amp;TEXT((1-G37)*100,"0")&amp;"%."</f>
        <v>On Hit: Reduces the attacker's Speed by 20%.</v>
      </c>
      <c r="O37" s="9" t="s">
        <v>90</v>
      </c>
    </row>
    <row r="38" spans="1:15" x14ac:dyDescent="0.25">
      <c r="A38" s="2">
        <v>37</v>
      </c>
      <c r="B38" s="2" t="s">
        <v>81</v>
      </c>
      <c r="C38" s="2" t="s">
        <v>18</v>
      </c>
      <c r="D38" s="2" t="s">
        <v>132</v>
      </c>
      <c r="E38" s="2"/>
      <c r="F38" s="2" t="s">
        <v>19</v>
      </c>
      <c r="G38" s="2">
        <v>0.9</v>
      </c>
      <c r="H38" s="2"/>
      <c r="I38" s="2"/>
      <c r="J38" s="2"/>
      <c r="K38" s="2"/>
      <c r="L38" s="2"/>
      <c r="M38" s="2"/>
      <c r="N38" s="2" t="str">
        <f>"Reduces all allies' damage taken by "&amp;TEXT((1-G38)*100,"0")&amp;"% while active."</f>
        <v>Reduces all allies' damage taken by 10% while active.</v>
      </c>
      <c r="O38" s="9" t="s">
        <v>90</v>
      </c>
    </row>
    <row r="39" spans="1:15" x14ac:dyDescent="0.25">
      <c r="A39" s="1">
        <v>38</v>
      </c>
      <c r="B39" s="1" t="s">
        <v>148</v>
      </c>
      <c r="C39" s="1" t="s">
        <v>12</v>
      </c>
      <c r="D39" s="1" t="s">
        <v>114</v>
      </c>
      <c r="E39" s="1"/>
      <c r="F39" s="1" t="s">
        <v>20</v>
      </c>
      <c r="G39" s="1">
        <v>2</v>
      </c>
      <c r="H39" s="1"/>
      <c r="I39" s="1"/>
      <c r="J39" s="1"/>
      <c r="K39" s="1" t="s">
        <v>262</v>
      </c>
      <c r="L39" s="1">
        <v>4</v>
      </c>
      <c r="M39" s="1" t="s">
        <v>267</v>
      </c>
      <c r="N39" s="1" t="str">
        <f>IF(C39="passive","",IF(C39="on_battle_start","On Battle Start: ",IF(C39="on_hit","On Hit: ",IF(C39="on_round_start","On Round Start: ",IF(C39="after_attack","After Attack: ",IF(C39="on_attack","On Attack: ",IF(C39="on_faint","On Faint: ",IF(C39="before_attack","Before Attack: ",IF(C39="before_hit","Before Hit: ",IF(C39="on_ally_faint","On Ally Faint: ",IF(C39="on_kill","On Kill: ",IF(C39="on_debuff","On Debuff: ",IF(C39="on_heal","On Heal: ","")))))))))))))&amp;"Doubles Attack."</f>
        <v>After Attack: Doubles Attack.</v>
      </c>
      <c r="O39" s="10" t="s">
        <v>95</v>
      </c>
    </row>
    <row r="40" spans="1:15" x14ac:dyDescent="0.25">
      <c r="A40" s="2">
        <v>39</v>
      </c>
      <c r="B40" s="2" t="s">
        <v>55</v>
      </c>
      <c r="C40" s="2" t="s">
        <v>11</v>
      </c>
      <c r="D40" s="2" t="s">
        <v>135</v>
      </c>
      <c r="E40" s="2"/>
      <c r="F40" s="2" t="s">
        <v>237</v>
      </c>
      <c r="G40" s="2">
        <v>10</v>
      </c>
      <c r="H40" s="2"/>
      <c r="I40" s="2"/>
      <c r="J40" s="2"/>
      <c r="K40" s="2" t="s">
        <v>263</v>
      </c>
      <c r="L40" s="2">
        <v>0</v>
      </c>
      <c r="M40" s="2"/>
      <c r="N40" s="2" t="str">
        <f>IF(C40="passive","",IF(C40="on_battle_start","On Battle Start: ",IF(C40="on_hit","On Hit: ",IF(C40="on_round_start","On Round Start: ",IF(C40="after_attack","After Attack: ",IF(C40="on_attack","On Attack: ",IF(C40="on_faint","On Faint: ",IF(C40="before_attack","Before Attack: ",IF(C40="before_hit","Before Hit: ",IF(C40="on_ally_faint","On Ally Faint: ",IF(C40="on_kill","On Kill: ",IF(C40="on_debuff","On Debuff: ",IF(C40="on_heal","On Heal: ","")))))))))))))&amp;"Deals "&amp;TEXT(G40,0)&amp;" Damage to the next enemy."</f>
        <v>On Attack: Deals 10 Damage to the next enemy.</v>
      </c>
      <c r="O40" s="5" t="s">
        <v>85</v>
      </c>
    </row>
    <row r="41" spans="1:15" x14ac:dyDescent="0.25">
      <c r="A41" s="13">
        <v>40</v>
      </c>
      <c r="B41" s="13" t="s">
        <v>100</v>
      </c>
      <c r="C41" s="13" t="s">
        <v>10</v>
      </c>
      <c r="D41" s="13" t="s">
        <v>114</v>
      </c>
      <c r="E41" s="13"/>
      <c r="F41" s="13"/>
      <c r="G41" s="13"/>
      <c r="H41" s="13"/>
      <c r="I41" s="13"/>
      <c r="J41" s="13" t="s">
        <v>136</v>
      </c>
      <c r="K41" s="1"/>
      <c r="L41" s="1"/>
      <c r="M41" s="1"/>
      <c r="N41" s="13" t="str">
        <f>IF(C41="passive","",IF(C41="on_battle_start","On Battle Start: ",IF(C41="on_hit","On Hit: ",IF(C41="on_round_start","On Round Start: ",IF(C41="after_attack","After Attack: ",IF(C41="on_attack","On Attack: ",IF(C41="on_faint","On Faint: ",IF(C41="before_attack","Before Attack: ",IF(C41="before_hit","Before Hit: ",IF(C41="on_ally_faint","On Ally Faint: ",IF(C41="on_kill","On Kill: ",IF(C41="on_debuff","On Debuff: ",IF(C41="on_heal","On Heal: ","")))))))))))))&amp;"Power scales with user's remaining HP."</f>
        <v>Before Attack: Power scales with user's remaining HP.</v>
      </c>
      <c r="O41" s="5" t="s">
        <v>85</v>
      </c>
    </row>
    <row r="42" spans="1:15" x14ac:dyDescent="0.25">
      <c r="A42" s="2">
        <v>41</v>
      </c>
      <c r="B42" s="2" t="s">
        <v>101</v>
      </c>
      <c r="C42" s="2" t="s">
        <v>12</v>
      </c>
      <c r="D42" s="2" t="s">
        <v>114</v>
      </c>
      <c r="E42" s="2"/>
      <c r="F42" s="2" t="s">
        <v>21</v>
      </c>
      <c r="G42" s="2">
        <v>1.1000000000000001</v>
      </c>
      <c r="H42" s="2"/>
      <c r="I42" s="2"/>
      <c r="J42" s="2"/>
      <c r="K42" s="2" t="s">
        <v>262</v>
      </c>
      <c r="L42" s="2"/>
      <c r="M42" s="2"/>
      <c r="N42" s="2" t="str">
        <f>IF(C42="passive","",IF(C42="on_battle_start","On Battle Start: ",IF(C42="on_hit","On Hit: ",IF(C42="on_round_start","On Round Start: ",IF(C42="after_attack","After Attack: ",IF(C42="on_attack","On Attack: ",IF(C42="on_faint","On Faint: ",IF(C42="before_attack","Before Attack: ",IF(C42="before_hit","Before Hit: ",IF(C42="on_ally_faint","On Ally Faint: ",IF(C42="on_kill","On Kill: ",IF(C42="on_debuff","On Debuff: ",IF(C42="on_heal","On Heal: ","")))))))))))))&amp;"Increases the user's Speed by "&amp;TEXT((G42-1)*100,"0")&amp;"%."</f>
        <v>After Attack: Increases the user's Speed by 10%.</v>
      </c>
      <c r="O42" s="5" t="s">
        <v>85</v>
      </c>
    </row>
    <row r="43" spans="1:15" x14ac:dyDescent="0.25">
      <c r="A43" s="1">
        <v>42</v>
      </c>
      <c r="B43" s="1" t="s">
        <v>58</v>
      </c>
      <c r="C43" s="1" t="s">
        <v>11</v>
      </c>
      <c r="D43" s="1" t="s">
        <v>137</v>
      </c>
      <c r="E43" s="1"/>
      <c r="F43" s="1" t="s">
        <v>237</v>
      </c>
      <c r="G43" s="1">
        <v>10</v>
      </c>
      <c r="H43" s="1"/>
      <c r="I43" s="1"/>
      <c r="J43" s="1"/>
      <c r="K43" s="1" t="s">
        <v>395</v>
      </c>
      <c r="L43" s="1">
        <v>0</v>
      </c>
      <c r="M43" s="1" t="s">
        <v>395</v>
      </c>
      <c r="N43" s="1" t="str">
        <f>IF(C43="passive","",IF(C43="on_battle_start","On Battle Start: ",IF(C43="on_hit","On Hit: ",IF(C43="on_round_start","On Round Start: ",IF(C43="after_attack","After Attack: ",IF(C43="on_attack","On Attack: ",IF(C43="on_faint","On Faint: ",IF(C43="before_attack","Before Attack: ",IF(C43="before_hit","Before Hit: ",IF(C43="on_ally_faint","On Ally Faint: ",IF(C43="on_kill","On Kill: ",IF(C43="on_debuff","On Debuff: ",IF(C43="on_heal","On Heal: ","")))))))))))))&amp;"Deals 10 damage to all enemies."</f>
        <v>On Attack: Deals 10 damage to all enemies.</v>
      </c>
      <c r="O43" s="5" t="s">
        <v>85</v>
      </c>
    </row>
    <row r="44" spans="1:15" x14ac:dyDescent="0.25">
      <c r="A44" s="2">
        <v>43</v>
      </c>
      <c r="B44" s="2" t="s">
        <v>399</v>
      </c>
      <c r="C44" s="2" t="s">
        <v>12</v>
      </c>
      <c r="D44" s="2" t="s">
        <v>114</v>
      </c>
      <c r="E44" s="2"/>
      <c r="F44" s="2" t="s">
        <v>21</v>
      </c>
      <c r="G44" s="2">
        <v>1.2</v>
      </c>
      <c r="H44" s="2"/>
      <c r="I44" s="2"/>
      <c r="J44" s="2"/>
      <c r="K44" s="2" t="s">
        <v>262</v>
      </c>
      <c r="L44" s="2">
        <v>2</v>
      </c>
      <c r="M44" s="2" t="s">
        <v>267</v>
      </c>
      <c r="N44" s="2" t="str">
        <f>IF(C44="passive","",IF(C44="on_battle_start","On Battle Start: ",IF(C44="on_hit","On Hit: ",IF(C44="on_round_start","On Round Start: ",IF(C44="after_attack","After Attack: ",IF(C44="on_attack","On Attack: ",IF(C44="on_faint","On Faint: ",IF(C44="before_attack","Before Attack: ",IF(C44="before_hit","Before Hit: ",IF(C44="on_ally_faint","On Ally Faint: ",IF(C44="on_kill","On Kill: ",IF(C44="on_debuff","On Debuff: ",IF(C44="on_heal","On Heal: ","")))))))))))))&amp;"Increases the user's Speed by "&amp;TEXT((G44-1)*100,"0")&amp;"%."</f>
        <v>After Attack: Increases the user's Speed by 20%.</v>
      </c>
      <c r="O44" s="5" t="s">
        <v>85</v>
      </c>
    </row>
    <row r="45" spans="1:15" x14ac:dyDescent="0.25">
      <c r="A45" s="1">
        <v>44</v>
      </c>
      <c r="B45" s="1" t="s">
        <v>103</v>
      </c>
      <c r="C45" s="1" t="s">
        <v>18</v>
      </c>
      <c r="D45" s="1" t="s">
        <v>114</v>
      </c>
      <c r="E45" s="1"/>
      <c r="F45" s="1" t="s">
        <v>405</v>
      </c>
      <c r="G45" s="1"/>
      <c r="H45" s="1"/>
      <c r="I45" s="1"/>
      <c r="J45" s="1"/>
      <c r="K45" s="1"/>
      <c r="L45" s="1"/>
      <c r="M45" s="1"/>
      <c r="N45" s="1"/>
      <c r="O45" s="13" t="s">
        <v>86</v>
      </c>
    </row>
    <row r="46" spans="1:15" x14ac:dyDescent="0.25">
      <c r="A46" s="2">
        <v>45</v>
      </c>
      <c r="B46" s="2" t="s">
        <v>104</v>
      </c>
      <c r="C46" s="2" t="s">
        <v>12</v>
      </c>
      <c r="D46" s="2" t="s">
        <v>114</v>
      </c>
      <c r="E46" s="2"/>
      <c r="F46" s="2" t="s">
        <v>21</v>
      </c>
      <c r="G46" s="2">
        <v>1.1000000000000001</v>
      </c>
      <c r="H46" s="2"/>
      <c r="I46" s="2"/>
      <c r="J46" s="2"/>
      <c r="K46" s="2" t="s">
        <v>262</v>
      </c>
      <c r="L46" s="2">
        <v>2</v>
      </c>
      <c r="M46" s="2" t="s">
        <v>267</v>
      </c>
      <c r="N46" s="2" t="str">
        <f>IF(C46="passive","",IF(C46="on_battle_start","On Battle Start: ",IF(C46="on_hit","On Hit: ",IF(C46="on_round_start","On Round Start: ",IF(C46="after_attack","After Attack: ",IF(C46="on_attack","On Attack: ",IF(C46="on_faint","On Faint: ",IF(C46="before_attack","Before Attack: ",IF(C46="before_hit","Before Hit: ",IF(C46="on_ally_faint","On Ally Faint: ",IF(C46="on_kill","On Kill: ",IF(C46="on_debuff","On Debuff: ",IF(C46="on_heal","On Heal: ","")))))))))))))&amp;"Increases the user's Speed by "&amp;TEXT((G46-1)*100,"0")&amp;"%."</f>
        <v>After Attack: Increases the user's Speed by 10%.</v>
      </c>
      <c r="O46" s="6" t="s">
        <v>86</v>
      </c>
    </row>
    <row r="47" spans="1:15" x14ac:dyDescent="0.25">
      <c r="A47" s="1">
        <v>46</v>
      </c>
      <c r="B47" s="1" t="s">
        <v>105</v>
      </c>
      <c r="C47" s="1" t="s">
        <v>11</v>
      </c>
      <c r="D47" s="1" t="s">
        <v>122</v>
      </c>
      <c r="E47" s="1">
        <v>1</v>
      </c>
      <c r="F47" s="1" t="s">
        <v>134</v>
      </c>
      <c r="G47" s="1">
        <v>0.9</v>
      </c>
      <c r="H47" s="1"/>
      <c r="I47" s="1"/>
      <c r="J47" s="1"/>
      <c r="K47" s="1" t="s">
        <v>269</v>
      </c>
      <c r="L47" s="1">
        <v>2</v>
      </c>
      <c r="M47" s="1" t="s">
        <v>268</v>
      </c>
      <c r="N47" s="1" t="str">
        <f>IF(C47="passive","",IF(C47="on_battle_start","On Battle Start: ",IF(C47="on_hit","On Hit: ",IF(C47="on_round_start","On Round Start: ",IF(C47="after_attack","After Attack: ",IF(C47="on_attack","On Attack: ",IF(C47="on_faint","On Faint: ",IF(C47="before_attack","Before Attack: ",IF(C47="before_hit","Before Hit: ",IF(C47="on_ally_faint","On Ally Faint: ",IF(C47="on_kill","On Kill: ",IF(C47="on_debuff","On Debuff: ",IF(C47="on_heal","On Heal: ","")))))))))))))&amp;"Lowers the enemy's Speed "&amp;TEXT((1-G47)*100,"0")&amp;"%."</f>
        <v>On Attack: Lowers the enemy's Speed 10%.</v>
      </c>
      <c r="O47" s="6" t="s">
        <v>86</v>
      </c>
    </row>
    <row r="48" spans="1:15" x14ac:dyDescent="0.25">
      <c r="A48" s="2">
        <v>47</v>
      </c>
      <c r="B48" s="2" t="s">
        <v>106</v>
      </c>
      <c r="C48" s="2" t="s">
        <v>11</v>
      </c>
      <c r="D48" s="2" t="s">
        <v>122</v>
      </c>
      <c r="E48" s="2">
        <v>1</v>
      </c>
      <c r="F48" s="2" t="s">
        <v>134</v>
      </c>
      <c r="G48" s="2">
        <v>0.8</v>
      </c>
      <c r="H48" s="2"/>
      <c r="I48" s="2"/>
      <c r="J48" s="2"/>
      <c r="K48" s="2" t="s">
        <v>269</v>
      </c>
      <c r="L48" s="2">
        <v>2</v>
      </c>
      <c r="M48" s="2" t="s">
        <v>268</v>
      </c>
      <c r="N48" s="2" t="str">
        <f>IF(C48="passive","",IF(C48="on_battle_start","On Battle Start: ",IF(C48="on_hit","On Hit: ",IF(C48="on_round_start","On Round Start: ",IF(C48="after_attack","After Attack: ",IF(C48="on_attack","On Attack: ",IF(C48="on_faint","On Faint: ",IF(C48="before_attack","Before Attack: ",IF(C48="before_hit","Before Hit: ",IF(C48="on_ally_faint","On Ally Faint: ",IF(C48="on_kill","On Kill: ",IF(C48="on_debuff","On Debuff: ",IF(C48="on_heal","On Heal: ","")))))))))))))&amp;"Lowers the enemy's Speed by "&amp;TEXT((1-G48)*100,"0")&amp;"%."</f>
        <v>On Attack: Lowers the enemy's Speed by 20%.</v>
      </c>
      <c r="O48" s="6" t="s">
        <v>86</v>
      </c>
    </row>
    <row r="49" spans="1:15" x14ac:dyDescent="0.25">
      <c r="A49" s="1">
        <v>48</v>
      </c>
      <c r="B49" s="1" t="s">
        <v>107</v>
      </c>
      <c r="C49" s="1" t="s">
        <v>11</v>
      </c>
      <c r="D49" s="1" t="s">
        <v>122</v>
      </c>
      <c r="E49" s="1">
        <v>1</v>
      </c>
      <c r="F49" s="1" t="s">
        <v>123</v>
      </c>
      <c r="G49" s="1">
        <v>0.8</v>
      </c>
      <c r="H49" s="1"/>
      <c r="I49" s="1"/>
      <c r="J49" s="1"/>
      <c r="K49" s="1" t="s">
        <v>269</v>
      </c>
      <c r="L49" s="1"/>
      <c r="M49" s="1"/>
      <c r="N49" s="1" t="str">
        <f>IF(C49="passive","",IF(C49="on_battle_start","On Battle Start: ",IF(C49="on_hit","On Hit: ",IF(C49="on_round_start","On Round Start: ",IF(C49="after_attack","After Attack: ",IF(C49="on_attack","On Attack: ",IF(C49="on_faint","On Faint: ",IF(C49="before_attack","Before Attack: ",IF(C49="before_hit","Before Hit: ",IF(C49="on_ally_faint","On Ally Faint: ",IF(C49="on_kill","On Kill: ",IF(C49="on_debuff","On Debuff: ",IF(C49="on_heal","On Heal: ","")))))))))))))&amp;"Lowers the target's Attack by "&amp;TEXT((1-G49)*100,"0")&amp;"%."</f>
        <v>On Attack: Lowers the target's Attack by 20%.</v>
      </c>
      <c r="O49" s="6" t="s">
        <v>86</v>
      </c>
    </row>
    <row r="50" spans="1:15" x14ac:dyDescent="0.25">
      <c r="A50" s="2">
        <v>49</v>
      </c>
      <c r="B50" s="2" t="s">
        <v>108</v>
      </c>
      <c r="C50" s="2" t="s">
        <v>11</v>
      </c>
      <c r="D50" s="2" t="s">
        <v>144</v>
      </c>
      <c r="E50" s="2">
        <v>1</v>
      </c>
      <c r="F50" s="2" t="s">
        <v>127</v>
      </c>
      <c r="G50" s="2">
        <v>1</v>
      </c>
      <c r="H50" s="2"/>
      <c r="I50" s="2"/>
      <c r="J50" s="2"/>
      <c r="K50" s="2"/>
      <c r="L50" s="2"/>
      <c r="M50" s="2"/>
      <c r="N50" s="2" t="str">
        <f>IF(C50="passive","",IF(C50="on_battle_start","On Battle Start: ",IF(C50="on_hit","On Hit: ",IF(C50="on_round_start","On Round Start: ",IF(C50="after_attack","After Attack: ",IF(C50="on_attack","On Attack: ",IF(C50="on_faint","On Faint: ",IF(C50="before_attack","Before Attack: ",IF(C50="before_hit","Before Hit: ",IF(C50="on_ally_faint","On Ally Faint: ",IF(C50="on_kill","On Kill: ",IF(C50="on_debuff","On Debuff: ",IF(C50="on_heal","On Heal: ","")))))))))))))&amp;"Hits the last enemy."</f>
        <v>On Attack: Hits the last enemy.</v>
      </c>
      <c r="O50" s="6" t="s">
        <v>86</v>
      </c>
    </row>
    <row r="51" spans="1:15" x14ac:dyDescent="0.25">
      <c r="A51" s="1">
        <v>50</v>
      </c>
      <c r="B51" s="1" t="s">
        <v>378</v>
      </c>
      <c r="C51" s="1" t="s">
        <v>8</v>
      </c>
      <c r="D51" s="1" t="s">
        <v>137</v>
      </c>
      <c r="E51" s="1"/>
      <c r="F51" s="1" t="s">
        <v>134</v>
      </c>
      <c r="G51" s="1">
        <v>0.8</v>
      </c>
      <c r="H51" s="1"/>
      <c r="I51" s="1"/>
      <c r="J51" s="1"/>
      <c r="K51" s="1" t="s">
        <v>269</v>
      </c>
      <c r="L51" s="1">
        <v>6</v>
      </c>
      <c r="M51" s="1" t="s">
        <v>268</v>
      </c>
      <c r="N51" s="1" t="str">
        <f>IF(C51="passive","",IF(C51="on_battle_start","On Battle Start: ",IF(C51="on_hit","On Hit: ",IF(C51="on_round_start","On Round Start: ",IF(C51="after_attack","After Attack: ",IF(C51="on_attack","On Attack: ",IF(C51="on_faint","On Faint: ",IF(C51="before_attack","Before Attack: ",IF(C51="before_hit","Before Hit: ",IF(C51="on_ally_faint","On Ally Faint: ",IF(C51="on_kill","On Kill: ",IF(C51="on_debuff","On Debuff: ",IF(C51="on_heal","On Heal: ","")))))))))))))&amp;"Slows all enemies by "&amp;(1-G51)*100&amp;"%."</f>
        <v>On Battle Start: Slows all enemies by 20%.</v>
      </c>
      <c r="O51" s="6" t="s">
        <v>86</v>
      </c>
    </row>
    <row r="52" spans="1:15" x14ac:dyDescent="0.25">
      <c r="A52" s="2">
        <v>51</v>
      </c>
      <c r="B52" s="2" t="s">
        <v>109</v>
      </c>
      <c r="C52" s="2" t="s">
        <v>11</v>
      </c>
      <c r="D52" s="2" t="s">
        <v>122</v>
      </c>
      <c r="E52" s="2">
        <v>1</v>
      </c>
      <c r="F52" s="2" t="s">
        <v>123</v>
      </c>
      <c r="G52" s="2">
        <v>0.8</v>
      </c>
      <c r="H52" s="2"/>
      <c r="I52" s="2"/>
      <c r="J52" s="2"/>
      <c r="K52" s="2" t="s">
        <v>269</v>
      </c>
      <c r="L52" s="2"/>
      <c r="M52" s="2"/>
      <c r="N52" s="2" t="str">
        <f>IF(C52="passive","",IF(C52="on_battle_start","On Battle Start: ",IF(C52="on_hit","On Hit: ",IF(C52="on_round_start","On Round Start: ",IF(C52="after_attack","After Attack: ",IF(C52="on_attack","On Attack: ",IF(C52="on_faint","On Faint: ",IF(C52="before_attack","Before Attack: ",IF(C52="before_hit","Before Hit: ",IF(C52="on_ally_faint","On Ally Faint: ",IF(C52="on_kill","On Kill: ",IF(C52="on_debuff","On Debuff: ",IF(C52="on_heal","On Heal: ","")))))))))))))&amp;"Lowers the target's Attack by "&amp;TEXT((1-G52)*100,"0")&amp;"%."</f>
        <v>On Attack: Lowers the target's Attack by 20%.</v>
      </c>
      <c r="O52" s="6" t="s">
        <v>86</v>
      </c>
    </row>
    <row r="53" spans="1:15" x14ac:dyDescent="0.25">
      <c r="A53" s="1">
        <v>52</v>
      </c>
      <c r="B53" s="1" t="s">
        <v>29</v>
      </c>
      <c r="C53" s="1" t="s">
        <v>11</v>
      </c>
      <c r="D53" s="1" t="s">
        <v>140</v>
      </c>
      <c r="E53" s="1"/>
      <c r="F53" s="1" t="s">
        <v>127</v>
      </c>
      <c r="G53" s="1">
        <v>0.2</v>
      </c>
      <c r="H53" s="1"/>
      <c r="I53" s="1"/>
      <c r="J53" s="1"/>
      <c r="K53" s="1"/>
      <c r="L53" s="1"/>
      <c r="M53" s="1"/>
      <c r="N53" s="1" t="str">
        <f>IF(C53="passive","",IF(C53="on_battle_start","On Battle Start: ",IF(C53="on_hit","On Hit: ",IF(C53="on_round_start","On Round Start: ",IF(C53="after_attack","After Attack: ",IF(C53="on_attack","On Attack: ",IF(C53="on_faint","On Faint: ",IF(C53="before_attack","Before Attack: ",IF(C53="before_hit","Before Hit: ",IF(C53="on_ally_faint","On Ally Faint: ",IF(C53="on_kill","On Kill: ",IF(C53="on_debuff","On Debuff: ",IF(C53="on_heal","On Heal: ","")))))))))))))&amp;"Deals "&amp;TEXT(G53*100,"0")&amp;"% damage to all other Pokémon."</f>
        <v>On Attack: Deals 20% damage to all other Pokémon.</v>
      </c>
      <c r="O53" s="6" t="s">
        <v>86</v>
      </c>
    </row>
    <row r="54" spans="1:15" x14ac:dyDescent="0.25">
      <c r="A54" s="2">
        <v>53</v>
      </c>
      <c r="B54" s="2" t="s">
        <v>400</v>
      </c>
      <c r="C54" s="2" t="s">
        <v>11</v>
      </c>
      <c r="D54" s="2" t="s">
        <v>122</v>
      </c>
      <c r="E54" s="2">
        <v>1</v>
      </c>
      <c r="F54" s="2" t="s">
        <v>134</v>
      </c>
      <c r="G54" s="2">
        <v>0.7</v>
      </c>
      <c r="H54" s="2"/>
      <c r="I54" s="2"/>
      <c r="J54" s="2"/>
      <c r="K54" s="2" t="s">
        <v>269</v>
      </c>
      <c r="L54" s="2">
        <v>2</v>
      </c>
      <c r="M54" s="2" t="s">
        <v>268</v>
      </c>
      <c r="N54" s="2" t="str">
        <f>IF(C54="passive","",IF(C54="on_battle_start","On Battle Start: ",IF(C54="on_hit","On Hit: ",IF(C54="on_round_start","On Round Start: ",IF(C54="after_attack","After Attack: ",IF(C54="on_attack","On Attack: ",IF(C54="on_faint","On Faint: ",IF(C54="before_attack","Before Attack: ",IF(C54="before_hit","Before Hit: ",IF(C54="on_ally_faint","On Ally Faint: ",IF(C54="on_kill","On Kill: ",IF(C54="on_debuff","On Debuff: ",IF(C54="on_heal","On Heal: ","")))))))))))))&amp;"Lowers the enemy's Speed by "&amp;TEXT((1-G54)*100,"0")&amp;"%."</f>
        <v>On Attack: Lowers the enemy's Speed by 30%.</v>
      </c>
      <c r="O54" s="6" t="s">
        <v>86</v>
      </c>
    </row>
    <row r="55" spans="1:15" x14ac:dyDescent="0.25">
      <c r="A55" s="1">
        <v>54</v>
      </c>
      <c r="B55" s="1" t="s">
        <v>63</v>
      </c>
      <c r="C55" s="1" t="s">
        <v>11</v>
      </c>
      <c r="D55" s="1" t="s">
        <v>137</v>
      </c>
      <c r="E55" s="1"/>
      <c r="F55" s="1" t="s">
        <v>127</v>
      </c>
      <c r="G55" s="1">
        <v>0.2</v>
      </c>
      <c r="H55" s="1" t="s">
        <v>54</v>
      </c>
      <c r="I55" s="1"/>
      <c r="J55" s="1"/>
      <c r="K55" s="1" t="s">
        <v>396</v>
      </c>
      <c r="L55" s="1">
        <v>4</v>
      </c>
      <c r="M55" s="1" t="s">
        <v>271</v>
      </c>
      <c r="N55" s="1" t="str">
        <f>IF(C55="passive","",IF(C55="on_battle_start","On Battle Start: ",IF(C55="on_hit","On Hit: ",IF(C55="on_round_start","On Round Start: ",IF(C55="after_attack","After Attack: ",IF(C55="on_attack","On Attack: ",IF(C55="on_faint","On Faint: ",IF(C55="before_attack","Before Attack: ",IF(C55="before_hit","Before Hit: ",IF(C55="on_ally_faint","On Ally Faint: ",IF(C55="on_kill","On Kill: ",IF(C55="on_debuff","On Debuff: ",IF(C55="on_heal","On Heal: ","")))))))))))))&amp;"In Rain deals "&amp;TEXT(G55*100,"0")&amp;"% damage to all enemies."</f>
        <v>On Attack: In Rain deals 20% damage to all enemies.</v>
      </c>
      <c r="O55" s="8" t="s">
        <v>88</v>
      </c>
    </row>
    <row r="56" spans="1:15" x14ac:dyDescent="0.25">
      <c r="A56" s="2">
        <v>55</v>
      </c>
      <c r="B56" s="2" t="s">
        <v>138</v>
      </c>
      <c r="C56" s="2" t="s">
        <v>14</v>
      </c>
      <c r="D56" s="2" t="s">
        <v>114</v>
      </c>
      <c r="E56" s="2"/>
      <c r="F56" s="2" t="s">
        <v>21</v>
      </c>
      <c r="G56" s="2">
        <v>2</v>
      </c>
      <c r="H56" s="2" t="s">
        <v>115</v>
      </c>
      <c r="I56" s="2"/>
      <c r="J56" s="2"/>
      <c r="K56" s="2" t="s">
        <v>262</v>
      </c>
      <c r="L56" s="2">
        <v>4</v>
      </c>
      <c r="M56" s="2" t="s">
        <v>267</v>
      </c>
      <c r="N56" s="2" t="str">
        <f>IF(C56="passive","",IF(C56="on_battle_start","On Battle Start: ",IF(C56="on_hit","On Hit: ",IF(C56="on_round_start","On Round Start: ",IF(C56="after_attack","After Attack: ",IF(C56="on_attack","On Attack: ",IF(C56="on_faint","On Faint: ",IF(C56="before_attack","Before Attack: ",IF(C56="before_hit","Before Hit: ",IF(C56="on_ally_faint","On Ally Faint: ",IF(C56="on_kill","On Kill: ",IF(C56="on_debuff","On Debuff: ",IF(C56="on_heal","On Heal: ","")))))))))))))&amp;"Speed doubles when hit by a super-effective attack."</f>
        <v>On Hit: Speed doubles when hit by a super-effective attack.</v>
      </c>
      <c r="O56" s="10" t="s">
        <v>95</v>
      </c>
    </row>
    <row r="57" spans="1:15" x14ac:dyDescent="0.25">
      <c r="A57" s="1">
        <v>56</v>
      </c>
      <c r="B57" s="1" t="s">
        <v>24</v>
      </c>
      <c r="C57" s="1" t="s">
        <v>18</v>
      </c>
      <c r="D57" s="1" t="s">
        <v>114</v>
      </c>
      <c r="E57" s="1"/>
      <c r="F57" s="1" t="s">
        <v>25</v>
      </c>
      <c r="G57" s="1">
        <v>5</v>
      </c>
      <c r="H57" s="1"/>
      <c r="I57" s="1"/>
      <c r="J57" s="1"/>
      <c r="K57" s="1"/>
      <c r="L57" s="1"/>
      <c r="M57" s="1"/>
      <c r="N57" s="1" t="str">
        <f>"Reduces all incoming damage by "&amp;G57&amp;"."</f>
        <v>Reduces all incoming damage by 5.</v>
      </c>
      <c r="O57" s="8" t="s">
        <v>88</v>
      </c>
    </row>
    <row r="58" spans="1:15" x14ac:dyDescent="0.25">
      <c r="A58" s="2">
        <v>57</v>
      </c>
      <c r="B58" s="2" t="s">
        <v>26</v>
      </c>
      <c r="C58" s="2" t="s">
        <v>13</v>
      </c>
      <c r="D58" s="2" t="s">
        <v>114</v>
      </c>
      <c r="E58" s="2"/>
      <c r="F58" s="2" t="s">
        <v>27</v>
      </c>
      <c r="G58" s="2"/>
      <c r="H58" s="2" t="s">
        <v>28</v>
      </c>
      <c r="I58" s="2"/>
      <c r="J58" s="2"/>
      <c r="K58" s="2"/>
      <c r="L58" s="2"/>
      <c r="M58" s="2"/>
      <c r="N58" s="2" t="str">
        <f>IF(C58="passive","",IF(C58="on_battle_start","On Battle Start: ",IF(C58="on_hit","On Hit: ",IF(C58="on_round_start","On Round Start: ",IF(C58="after_attack","After Attack: ",IF(C58="on_attack","On Attack: ",IF(C58="on_faint","On Faint: ",IF(C58="before_attack","Before Attack: ",IF(C58="before_hit","Before Hit: ",IF(C58="on_ally_faint","On Ally Faint: ",IF(C58="on_kill","On Kill: ",IF(C58="on_debuff","On Debuff: ",IF(C58="on_heal","On Heal: ","")))))))))))))&amp;"Fully negate the first incoming hit."</f>
        <v>Before Hit: Fully negate the first incoming hit.</v>
      </c>
      <c r="O58" s="10" t="s">
        <v>95</v>
      </c>
    </row>
    <row r="59" spans="1:15" x14ac:dyDescent="0.25">
      <c r="A59" s="1">
        <v>58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6" t="s">
        <v>86</v>
      </c>
    </row>
    <row r="60" spans="1:15" x14ac:dyDescent="0.25">
      <c r="A60" s="2">
        <v>59</v>
      </c>
      <c r="B60" s="2" t="s">
        <v>30</v>
      </c>
      <c r="C60" s="2" t="s">
        <v>11</v>
      </c>
      <c r="D60" s="2" t="s">
        <v>135</v>
      </c>
      <c r="E60" s="2"/>
      <c r="F60" s="2" t="s">
        <v>237</v>
      </c>
      <c r="G60" s="2">
        <v>20</v>
      </c>
      <c r="H60" s="2"/>
      <c r="I60" s="2"/>
      <c r="J60" s="2"/>
      <c r="K60" s="2" t="s">
        <v>413</v>
      </c>
      <c r="L60" s="2">
        <v>2</v>
      </c>
      <c r="M60" s="2" t="s">
        <v>271</v>
      </c>
      <c r="N60" s="2" t="str">
        <f>IF(C60="passive","",IF(C60="on_battle_start","On Battle Start: ",IF(C60="on_hit","On Hit: ",IF(C60="on_round_start","On Round Start: ",IF(C60="after_attack","After Attack: ",IF(C60="on_attack","On Attack: ",IF(C60="on_faint","On Faint: ",IF(C60="before_attack","Before Attack: ",IF(C60="before_hit","Before Hit: ",IF(C60="on_ally_faint","On Ally Faint: ",IF(C60="on_kill","On Kill: ",IF(C60="on_debuff","On Debuff: ",IF(C60="on_heal","On Heal: ","")))))))))))))&amp;"Deals "&amp;G60&amp;" damage to the next enemy."</f>
        <v>On Attack: Deals 20 damage to the next enemy.</v>
      </c>
      <c r="O60" s="6" t="s">
        <v>86</v>
      </c>
    </row>
    <row r="61" spans="1:15" x14ac:dyDescent="0.25">
      <c r="A61" s="1">
        <v>60</v>
      </c>
      <c r="B61" s="1" t="s">
        <v>34</v>
      </c>
      <c r="C61" s="1" t="s">
        <v>11</v>
      </c>
      <c r="D61" s="1" t="s">
        <v>144</v>
      </c>
      <c r="E61" s="1">
        <v>1</v>
      </c>
      <c r="F61" s="1" t="s">
        <v>237</v>
      </c>
      <c r="G61" s="1">
        <v>20</v>
      </c>
      <c r="H61" s="1"/>
      <c r="I61" s="1"/>
      <c r="J61" s="1"/>
      <c r="K61" s="1"/>
      <c r="L61" s="1"/>
      <c r="M61" s="1"/>
      <c r="N61" s="1" t="str">
        <f>IF(C61="passive","",IF(C61="on_battle_start","On Battle Start: ",IF(C61="on_hit","On Hit: ",IF(C61="on_round_start","On Round Start: ",IF(C61="after_attack","After Attack: ",IF(C61="on_attack","On Attack: ",IF(C61="on_faint","On Faint: ",IF(C61="before_attack","Before Attack: ",IF(C61="before_hit","Before Hit: ",IF(C61="on_ally_faint","On Ally Faint: ",IF(C61="on_kill","On Kill: ",IF(C61="on_debuff","On Debuff: ",IF(C61="on_heal","On Heal: ","")))))))))))))&amp;"Deals "&amp;G61&amp;" damage to the last enemy."</f>
        <v>On Attack: Deals 20 damage to the last enemy.</v>
      </c>
      <c r="O61" s="6" t="s">
        <v>86</v>
      </c>
    </row>
    <row r="62" spans="1:15" x14ac:dyDescent="0.25">
      <c r="A62" s="2">
        <v>61</v>
      </c>
      <c r="B62" s="2" t="s">
        <v>37</v>
      </c>
      <c r="C62" s="2" t="s">
        <v>18</v>
      </c>
      <c r="D62" s="2" t="s">
        <v>114</v>
      </c>
      <c r="E62" s="2"/>
      <c r="F62" s="2" t="s">
        <v>38</v>
      </c>
      <c r="G62" s="2"/>
      <c r="H62" s="2"/>
      <c r="I62" s="2"/>
      <c r="J62" s="2"/>
      <c r="K62" s="2"/>
      <c r="L62" s="2"/>
      <c r="M62" s="2"/>
      <c r="N62" s="2" t="s">
        <v>126</v>
      </c>
      <c r="O62" s="9" t="s">
        <v>90</v>
      </c>
    </row>
    <row r="63" spans="1:15" x14ac:dyDescent="0.25">
      <c r="A63" s="1">
        <v>62</v>
      </c>
      <c r="B63" s="1" t="s">
        <v>139</v>
      </c>
      <c r="C63" s="1" t="s">
        <v>8</v>
      </c>
      <c r="D63" s="1" t="s">
        <v>114</v>
      </c>
      <c r="E63" s="1"/>
      <c r="F63" s="1" t="s">
        <v>35</v>
      </c>
      <c r="G63" s="1" t="s">
        <v>36</v>
      </c>
      <c r="H63" s="1"/>
      <c r="I63" s="1"/>
      <c r="J63" s="1"/>
      <c r="K63" s="1"/>
      <c r="L63" s="1"/>
      <c r="M63" s="1"/>
      <c r="N63" s="1" t="str">
        <f>IF(C63="passive","",IF(C63="on_battle_start","On Battle Start: ",IF(C63="on_hit","On Hit: ",IF(C63="on_round_start","On Round Start: ",IF(C63="after_attack","After Attack: ",IF(C63="on_attack","On Attack: ",IF(C63="on_faint","On Faint: ",IF(C63="before_attack","Before Attack: ",IF(C63="before_hit","Before Hit: ",IF(C63="on_ally_faint","On Ally Faint: ",IF(C63="on_kill","On Kill: ",IF(C63="on_debuff","On Debuff: ",IF(C63="on_heal","On Heal: ","")))))))))))))&amp;"Summons light screen."</f>
        <v>On Battle Start: Summons light screen.</v>
      </c>
      <c r="O63" s="9" t="s">
        <v>90</v>
      </c>
    </row>
    <row r="64" spans="1:15" x14ac:dyDescent="0.25">
      <c r="A64" s="2">
        <v>63</v>
      </c>
      <c r="B64" s="2" t="s">
        <v>40</v>
      </c>
      <c r="C64" s="2" t="s">
        <v>11</v>
      </c>
      <c r="D64" s="2" t="s">
        <v>140</v>
      </c>
      <c r="E64" s="2"/>
      <c r="F64" s="2" t="s">
        <v>127</v>
      </c>
      <c r="G64" s="2">
        <v>0.3</v>
      </c>
      <c r="H64" s="2"/>
      <c r="I64" s="2"/>
      <c r="J64" s="2"/>
      <c r="K64" s="2" t="s">
        <v>272</v>
      </c>
      <c r="L64" s="2">
        <v>6</v>
      </c>
      <c r="M64" s="2" t="s">
        <v>271</v>
      </c>
      <c r="N64" s="2" t="str">
        <f>IF(C64="passive","",IF(C64="on_battle_start","On Battle Start: ",IF(C64="on_hit","On Hit: ",IF(C64="on_round_start","On Round Start: ",IF(C64="after_attack","After Attack: ",IF(C64="on_attack","On Attack: ",IF(C64="on_faint","On Faint: ",IF(C64="before_attack","Before Attack: ",IF(C64="before_hit","Before Hit: ",IF(C64="on_ally_faint","On Ally Faint: ",IF(C64="on_kill","On Kill: ",IF(C64="on_debuff","On Debuff: ",IF(C64="on_heal","On Heal: ","")))))))))))))&amp;"Damages all other Pokémon on attack for 30% of its attack."</f>
        <v>On Attack: Damages all other Pokémon on attack for 30% of its attack.</v>
      </c>
      <c r="O64" s="10" t="s">
        <v>95</v>
      </c>
    </row>
    <row r="65" spans="1:15" x14ac:dyDescent="0.25">
      <c r="A65" s="1">
        <v>64</v>
      </c>
      <c r="B65" s="13" t="s">
        <v>41</v>
      </c>
      <c r="C65" s="13" t="s">
        <v>11</v>
      </c>
      <c r="D65" s="13" t="s">
        <v>122</v>
      </c>
      <c r="E65" s="13">
        <v>1</v>
      </c>
      <c r="F65" s="13" t="s">
        <v>141</v>
      </c>
      <c r="G65" s="13"/>
      <c r="H65" s="13"/>
      <c r="I65" s="13"/>
      <c r="J65" s="13"/>
      <c r="K65" s="1"/>
      <c r="L65" s="1"/>
      <c r="M65" s="1"/>
      <c r="N65" s="13" t="str">
        <f>IF(C65="passive","",IF(C65="on_battle_start","On Battle Start: ",IF(C65="on_hit","On Hit: ",IF(C65="on_round_start","On Round Start: ",IF(C65="after_attack","After Attack: ",IF(C65="on_attack","On Attack: ",IF(C65="on_faint","On Faint: ",IF(C65="before_attack","Before Attack: ",IF(C65="before_hit","Before Hit: ",IF(C65="on_ally_faint","On Ally Faint: ",IF(C65="on_kill","On Kill: ",IF(C65="on_debuff","On Debuff: ",IF(C65="on_heal","On Heal: ","")))))))))))))&amp;"Excess damage carries over to the next enemy."</f>
        <v>On Attack: Excess damage carries over to the next enemy.</v>
      </c>
      <c r="O65" s="10" t="s">
        <v>95</v>
      </c>
    </row>
    <row r="66" spans="1:15" x14ac:dyDescent="0.25">
      <c r="A66" s="2">
        <v>65</v>
      </c>
      <c r="B66" s="2" t="s">
        <v>257</v>
      </c>
      <c r="C66" s="2" t="s">
        <v>8</v>
      </c>
      <c r="D66" s="2" t="s">
        <v>137</v>
      </c>
      <c r="E66" s="2"/>
      <c r="F66" s="2" t="s">
        <v>166</v>
      </c>
      <c r="G66" s="2">
        <v>0.1</v>
      </c>
      <c r="H66" s="2"/>
      <c r="I66" s="2"/>
      <c r="J66" s="2"/>
      <c r="K66" s="2" t="s">
        <v>272</v>
      </c>
      <c r="L66" s="2">
        <v>6</v>
      </c>
      <c r="M66" s="2" t="s">
        <v>271</v>
      </c>
      <c r="N66" s="2" t="str">
        <f>IF(C66="passive","",IF(C66="on_battle_start","On Battle Start: ",IF(C66="on_hit","On Hit: ",IF(C66="on_round_start","On Round Start: ",IF(C66="after_attack","After Attack: ",IF(C66="on_attack","On Attack: ",IF(C66="on_faint","On Faint: ",IF(C66="before_attack","Before Attack: ",IF(C66="before_hit","Before Hit: ",IF(C66="on_ally_faint","On Ally Faint: ",IF(C66="on_kill","On Kill: ",IF(C66="on_debuff","On Debuff: ",IF(C66="on_heal","On Heal: ","")))))))))))))&amp;"Deals "&amp;G66*100&amp;"% damage to all enemies."</f>
        <v>On Battle Start: Deals 10% damage to all enemies.</v>
      </c>
      <c r="O66" s="9" t="s">
        <v>90</v>
      </c>
    </row>
    <row r="67" spans="1:15" x14ac:dyDescent="0.25">
      <c r="A67" s="1">
        <v>66</v>
      </c>
      <c r="B67" s="1" t="s">
        <v>50</v>
      </c>
      <c r="C67" s="1" t="s">
        <v>8</v>
      </c>
      <c r="D67" s="1" t="s">
        <v>137</v>
      </c>
      <c r="E67" s="1"/>
      <c r="F67" s="1" t="s">
        <v>406</v>
      </c>
      <c r="G67" s="1"/>
      <c r="H67" s="1" t="s">
        <v>48</v>
      </c>
      <c r="I67" s="1"/>
      <c r="J67" s="1"/>
      <c r="K67" s="1"/>
      <c r="L67" s="1"/>
      <c r="M67" s="1"/>
      <c r="N67" s="1" t="str">
        <f>IF(C67="passive","",IF(C67="on_battle_start","On Battle Start: ",IF(C67="on_hit","On Hit: ",IF(C67="on_round_start","On Round Start: ",IF(C67="after_attack","After Attack: ",IF(C67="on_attack","On Attack: ",IF(C67="on_faint","On Faint: ",IF(C67="before_attack","Before Attack: ",IF(C67="before_hit","Before Hit: ",IF(C67="on_ally_faint","On Ally Faint: ",IF(C67="on_kill","On Kill: ",IF(C67="on_debuff","On Debuff: ",IF(C67="on_heal","On Heal: ","")))))))))))))&amp;"Shuffles all enemy positions."</f>
        <v>On Battle Start: Shuffles all enemy positions.</v>
      </c>
      <c r="O67" s="7" t="s">
        <v>87</v>
      </c>
    </row>
    <row r="68" spans="1:15" x14ac:dyDescent="0.25">
      <c r="A68" s="2">
        <v>67</v>
      </c>
      <c r="B68" s="2" t="s">
        <v>51</v>
      </c>
      <c r="C68" s="2" t="s">
        <v>18</v>
      </c>
      <c r="D68" s="2" t="s">
        <v>114</v>
      </c>
      <c r="E68" s="2"/>
      <c r="F68" s="2" t="s">
        <v>52</v>
      </c>
      <c r="G68" s="2"/>
      <c r="H68" s="2"/>
      <c r="I68" s="2"/>
      <c r="J68" s="2"/>
      <c r="K68" s="2"/>
      <c r="L68" s="2"/>
      <c r="M68" s="2"/>
      <c r="N68" s="2" t="s">
        <v>142</v>
      </c>
      <c r="O68" s="7" t="s">
        <v>87</v>
      </c>
    </row>
    <row r="69" spans="1:15" x14ac:dyDescent="0.25">
      <c r="A69" s="1">
        <v>68</v>
      </c>
      <c r="B69" s="1" t="s">
        <v>53</v>
      </c>
      <c r="C69" s="1" t="s">
        <v>11</v>
      </c>
      <c r="D69" s="1" t="s">
        <v>144</v>
      </c>
      <c r="E69" s="1">
        <v>1</v>
      </c>
      <c r="F69" s="1" t="s">
        <v>127</v>
      </c>
      <c r="G69" s="1">
        <v>1</v>
      </c>
      <c r="H69" s="1" t="s">
        <v>54</v>
      </c>
      <c r="I69" s="1"/>
      <c r="J69" s="1"/>
      <c r="K69" s="1"/>
      <c r="L69" s="1"/>
      <c r="M69" s="1"/>
      <c r="N69" s="1" t="str">
        <f>IF(C69="passive","",IF(C69="on_battle_start","On Battle Start: ",IF(C69="on_hit","On Hit: ",IF(C69="on_round_start","On Round Start: ",IF(C69="after_attack","After Attack: ",IF(C69="on_attack","On Attack: ",IF(C69="on_faint","On Faint: ",IF(C69="before_attack","Before Attack: ",IF(C69="before_hit","Before Hit: ",IF(C69="on_ally_faint","On Ally Faint: ",IF(C69="on_kill","On Kill: ",IF(C69="on_debuff","On Debuff: ",IF(C69="on_heal","On Heal: ","")))))))))))))&amp;"Hits last enemy during rain."</f>
        <v>On Attack: Hits last enemy during rain.</v>
      </c>
      <c r="O69" s="7" t="s">
        <v>87</v>
      </c>
    </row>
    <row r="70" spans="1:15" x14ac:dyDescent="0.25">
      <c r="A70" s="2">
        <v>69</v>
      </c>
      <c r="B70" s="2" t="s">
        <v>56</v>
      </c>
      <c r="C70" s="2" t="s">
        <v>12</v>
      </c>
      <c r="D70" s="2" t="s">
        <v>114</v>
      </c>
      <c r="E70" s="2"/>
      <c r="F70" s="2" t="s">
        <v>150</v>
      </c>
      <c r="G70" s="2">
        <v>0.3</v>
      </c>
      <c r="H70" s="2"/>
      <c r="I70" s="2"/>
      <c r="J70" s="2"/>
      <c r="K70" s="2" t="s">
        <v>261</v>
      </c>
      <c r="L70" s="2">
        <v>5</v>
      </c>
      <c r="M70" s="2" t="s">
        <v>150</v>
      </c>
      <c r="N70" s="2" t="str">
        <f>IF(C70="passive","",IF(C70="on_battle_start","On Battle Start: ",IF(C70="on_hit","On Hit: ",IF(C70="on_round_start","On Round Start: ",IF(C70="after_attack","After Attack: ",IF(C70="on_attack","On Attack: ",IF(C70="on_faint","On Faint: ",IF(C70="before_attack","Before Attack: ",IF(C70="before_hit","Before Hit: ",IF(C70="on_ally_faint","On Ally Faint: ",IF(C70="on_kill","On Kill: ",IF(C70="on_debuff","On Debuff: ",IF(C70="on_heal","On Heal: ","")))))))))))))&amp;"Heals "&amp;TEXT(G70*100,"0")&amp;"% of max HP."</f>
        <v>After Attack: Heals 30% of max HP.</v>
      </c>
      <c r="O70" s="7" t="s">
        <v>87</v>
      </c>
    </row>
    <row r="71" spans="1:15" x14ac:dyDescent="0.25">
      <c r="A71" s="1">
        <v>70</v>
      </c>
      <c r="B71" s="1" t="s">
        <v>61</v>
      </c>
      <c r="C71" s="1" t="s">
        <v>15</v>
      </c>
      <c r="D71" s="1" t="s">
        <v>143</v>
      </c>
      <c r="E71" s="1"/>
      <c r="F71" s="1" t="s">
        <v>237</v>
      </c>
      <c r="G71" s="1">
        <v>25</v>
      </c>
      <c r="H71" s="1"/>
      <c r="I71" s="1"/>
      <c r="J71" s="1"/>
      <c r="K71" s="1" t="s">
        <v>398</v>
      </c>
      <c r="L71" s="1">
        <v>4</v>
      </c>
      <c r="M71" s="1" t="s">
        <v>396</v>
      </c>
      <c r="N71" s="1" t="str">
        <f>IF(C71="passive","",IF(C71="on_battle_start","On Battle Start: ",IF(C71="on_hit","On Hit: ",IF(C71="on_round_start","On Round Start: ",IF(C71="after_attack","After Attack: ",IF(C71="on_attack","On Attack: ",IF(C71="on_faint","On Faint: ",IF(C71="before_attack","Before Attack: ",IF(C71="before_hit","Before Hit: ",IF(C71="on_ally_faint","On Ally Faint: ",IF(C71="on_kill","On Kill: ",IF(C71="on_debuff","On Debuff: ",IF(C71="on_heal","On Heal: ","")))))))))))))&amp;"Deal 25 Damage to all Pokémon."</f>
        <v>On Faint: Deal 25 Damage to all Pokémon.</v>
      </c>
      <c r="O71" s="9" t="s">
        <v>90</v>
      </c>
    </row>
    <row r="72" spans="1:15" x14ac:dyDescent="0.25">
      <c r="A72" s="2">
        <v>71</v>
      </c>
      <c r="B72" s="2" t="s">
        <v>59</v>
      </c>
      <c r="C72" s="2" t="s">
        <v>11</v>
      </c>
      <c r="D72" s="2" t="s">
        <v>144</v>
      </c>
      <c r="E72" s="2">
        <v>2</v>
      </c>
      <c r="F72" s="2" t="s">
        <v>127</v>
      </c>
      <c r="G72" s="2">
        <v>0.15</v>
      </c>
      <c r="H72" s="2"/>
      <c r="I72" s="2"/>
      <c r="J72" s="2"/>
      <c r="K72" s="2" t="s">
        <v>395</v>
      </c>
      <c r="L72" s="2">
        <v>0</v>
      </c>
      <c r="M72" s="2" t="s">
        <v>395</v>
      </c>
      <c r="N72" s="2" t="str">
        <f>IF(C72="passive","",IF(C72="on_battle_start","On Battle Start: ",IF(C72="on_hit","On Hit: ",IF(C72="on_round_start","On Round Start: ",IF(C72="after_attack","After Attack: ",IF(C72="on_attack","On Attack: ",IF(C72="on_faint","On Faint: ",IF(C72="before_attack","Before Attack: ",IF(C72="before_hit","Before Hit: ",IF(C72="on_ally_faint","On Ally Faint: ",IF(C72="on_kill","On Kill: ",IF(C72="on_debuff","On Debuff: ",IF(C72="on_heal","On Heal: ","")))))))))))))&amp;"Deals "&amp;TEXT(G72*100,"0")&amp;"% damage to the last two enemies."</f>
        <v>On Attack: Deals 15% damage to the last two enemies.</v>
      </c>
      <c r="O72" s="5" t="s">
        <v>85</v>
      </c>
    </row>
    <row r="73" spans="1:15" x14ac:dyDescent="0.25">
      <c r="A73" s="1">
        <v>72</v>
      </c>
      <c r="B73" s="1" t="s">
        <v>60</v>
      </c>
      <c r="C73" s="1" t="s">
        <v>11</v>
      </c>
      <c r="D73" s="1" t="s">
        <v>144</v>
      </c>
      <c r="E73" s="1">
        <v>1</v>
      </c>
      <c r="F73" s="1" t="s">
        <v>127</v>
      </c>
      <c r="G73" s="1">
        <v>1</v>
      </c>
      <c r="H73" s="1"/>
      <c r="I73" s="1"/>
      <c r="J73" s="1"/>
      <c r="K73" s="1"/>
      <c r="L73" s="1"/>
      <c r="M73" s="1"/>
      <c r="N73" s="1" t="str">
        <f>IF(C73="passive","",IF(C73="on_battle_start","On Battle Start: ",IF(C73="on_hit","On Hit: ",IF(C73="on_round_start","On Round Start: ",IF(C73="after_attack","After Attack: ",IF(C73="on_attack","On Attack: ",IF(C73="on_faint","On Faint: ",IF(C73="before_attack","Before Attack: ",IF(C73="before_hit","Before Hit: ",IF(C73="on_ally_faint","On Ally Faint: ",IF(C73="on_kill","On Kill: ",IF(C73="on_debuff","On Debuff: ",IF(C73="on_heal","On Heal: ","")))))))))))))&amp;"Damages the last Pokémon in line."</f>
        <v>On Attack: Damages the last Pokémon in line.</v>
      </c>
      <c r="O73" s="5" t="s">
        <v>85</v>
      </c>
    </row>
    <row r="74" spans="1:15" x14ac:dyDescent="0.25">
      <c r="A74" s="2">
        <v>73</v>
      </c>
      <c r="B74" s="2" t="s">
        <v>75</v>
      </c>
      <c r="C74" s="2" t="s">
        <v>14</v>
      </c>
      <c r="D74" s="2" t="s">
        <v>120</v>
      </c>
      <c r="E74" s="2"/>
      <c r="F74" s="2" t="s">
        <v>23</v>
      </c>
      <c r="G74" s="2">
        <v>0.15</v>
      </c>
      <c r="H74" s="2"/>
      <c r="I74" s="2"/>
      <c r="J74" s="2"/>
      <c r="K74" s="2" t="s">
        <v>273</v>
      </c>
      <c r="L74" s="2">
        <v>0</v>
      </c>
      <c r="M74" s="2" t="s">
        <v>271</v>
      </c>
      <c r="N74" s="2" t="str">
        <f>IF(C74="passive","",IF(C74="on_battle_start","On Battle Start: ",IF(C74="on_hit","On Hit: ",IF(C74="on_round_start","On Round Start: ",IF(C74="after_attack","After Attack: ",IF(C74="on_attack","On Attack: ",IF(C74="on_faint","On Faint: ",IF(C74="before_attack","Before Attack: ",IF(C74="before_hit","Before Hit: ",IF(C74="on_ally_faint","On Ally Faint: ",IF(C74="on_kill","On Kill: ",IF(C74="on_debuff","On Debuff: ",IF(C74="on_heal","On Heal: ","")))))))))))))&amp;"Deals "&amp;TEXT(G74*100,"0")&amp;"% of max HP back to attacker."</f>
        <v>On Hit: Deals 15% of max HP back to attacker.</v>
      </c>
      <c r="O74" s="9" t="s">
        <v>90</v>
      </c>
    </row>
    <row r="75" spans="1:15" x14ac:dyDescent="0.25">
      <c r="A75" s="1">
        <v>74</v>
      </c>
      <c r="B75" s="1" t="s">
        <v>62</v>
      </c>
      <c r="C75" s="1" t="s">
        <v>8</v>
      </c>
      <c r="D75" s="1" t="s">
        <v>144</v>
      </c>
      <c r="E75" s="1">
        <v>1</v>
      </c>
      <c r="F75" s="1" t="s">
        <v>134</v>
      </c>
      <c r="G75" s="1">
        <v>0.5</v>
      </c>
      <c r="H75" s="1"/>
      <c r="I75" s="1"/>
      <c r="J75" s="1"/>
      <c r="K75" s="1" t="s">
        <v>269</v>
      </c>
      <c r="L75" s="1">
        <v>4</v>
      </c>
      <c r="M75" s="1" t="s">
        <v>268</v>
      </c>
      <c r="N75" s="1" t="str">
        <f>IF(C75="passive","",IF(C75="on_battle_start","On Battle Start: ",IF(C75="on_hit","On Hit: ",IF(C75="on_round_start","On Round Start: ",IF(C75="after_attack","After Attack: ",IF(C75="on_attack","On Attack: ",IF(C75="on_faint","On Faint: ",IF(C75="before_attack","Before Attack: ",IF(C75="before_hit","Before Hit: ",IF(C75="on_ally_faint","On Ally Faint: ",IF(C75="on_kill","On Kill: ",IF(C75="on_debuff","On Debuff: ",IF(C75="on_heal","On Heal: ","")))))))))))))&amp;"Reduces last enemy's Speed by "&amp;TEXT((1-G75)*100,"0")&amp;"%."</f>
        <v>On Battle Start: Reduces last enemy's Speed by 50%.</v>
      </c>
      <c r="O75" s="8" t="s">
        <v>88</v>
      </c>
    </row>
    <row r="76" spans="1:15" x14ac:dyDescent="0.25">
      <c r="A76" s="2">
        <v>75</v>
      </c>
      <c r="B76" s="2" t="s">
        <v>69</v>
      </c>
      <c r="C76" s="2" t="s">
        <v>18</v>
      </c>
      <c r="D76" s="2" t="s">
        <v>114</v>
      </c>
      <c r="E76" s="2"/>
      <c r="F76" s="2" t="s">
        <v>19</v>
      </c>
      <c r="G76" s="2">
        <v>0.8</v>
      </c>
      <c r="H76" s="2"/>
      <c r="I76" s="2"/>
      <c r="J76" s="2"/>
      <c r="K76" s="2"/>
      <c r="L76" s="2"/>
      <c r="M76" s="2"/>
      <c r="N76" s="2" t="str">
        <f>"Reduces all incoming damage by "&amp;TEXT((1-G76)*100,"0")&amp;"%."</f>
        <v>Reduces all incoming damage by 20%.</v>
      </c>
      <c r="O76" s="9" t="s">
        <v>90</v>
      </c>
    </row>
    <row r="77" spans="1:15" x14ac:dyDescent="0.25">
      <c r="A77" s="1">
        <v>76</v>
      </c>
      <c r="B77" s="1" t="s">
        <v>250</v>
      </c>
      <c r="C77" s="1" t="s">
        <v>18</v>
      </c>
      <c r="D77" s="1" t="s">
        <v>114</v>
      </c>
      <c r="E77" s="1"/>
      <c r="F77" s="1"/>
      <c r="G77" s="1"/>
      <c r="H77" s="1"/>
      <c r="I77" s="1"/>
      <c r="J77" s="1"/>
      <c r="K77" s="1"/>
      <c r="L77" s="1"/>
      <c r="M77" s="1"/>
      <c r="N77" s="1" t="s">
        <v>251</v>
      </c>
      <c r="O77" s="9" t="s">
        <v>90</v>
      </c>
    </row>
    <row r="78" spans="1:15" x14ac:dyDescent="0.25">
      <c r="A78" s="2">
        <v>77</v>
      </c>
      <c r="B78" s="2" t="s">
        <v>42</v>
      </c>
      <c r="C78" s="2" t="s">
        <v>8</v>
      </c>
      <c r="D78" s="2" t="s">
        <v>137</v>
      </c>
      <c r="E78" s="2"/>
      <c r="F78" s="2" t="s">
        <v>166</v>
      </c>
      <c r="G78" s="2">
        <v>0.2</v>
      </c>
      <c r="H78" s="2"/>
      <c r="I78" s="2"/>
      <c r="J78" s="2"/>
      <c r="K78" s="2"/>
      <c r="L78" s="2"/>
      <c r="M78" s="2"/>
      <c r="N78" s="2" t="str">
        <f>IF(C78="passive","",IF(C78="on_battle_start","On Battle Start: ",IF(C78="on_hit","On Hit: ",IF(C78="on_round_start","On Round Start: ",IF(C78="after_attack","After Attack: ",IF(C78="on_attack","On Attack: ",IF(C78="on_faint","On Faint: ",IF(C78="before_attack","Before Attack: ",IF(C78="before_hit","Before Hit: ",IF(C78="on_ally_faint","On Ally Faint: ",IF(C78="on_kill","On Kill: ",IF(C78="on_debuff","On Debuff: ",IF(C78="on_heal","On Heal: ","")))))))))))))&amp;"Deals "&amp;G78*100&amp;"% damage to all enemies."</f>
        <v>On Battle Start: Deals 20% damage to all enemies.</v>
      </c>
      <c r="O78" s="9" t="s">
        <v>90</v>
      </c>
    </row>
    <row r="79" spans="1:15" x14ac:dyDescent="0.25">
      <c r="A79" s="1">
        <v>78</v>
      </c>
      <c r="B79" s="1" t="s">
        <v>72</v>
      </c>
      <c r="C79" s="1" t="s">
        <v>18</v>
      </c>
      <c r="D79" s="1" t="s">
        <v>132</v>
      </c>
      <c r="E79" s="1"/>
      <c r="F79" s="1" t="s">
        <v>73</v>
      </c>
      <c r="G79" s="1">
        <v>1.5</v>
      </c>
      <c r="H79" s="1"/>
      <c r="I79" s="1"/>
      <c r="J79" s="1" t="s">
        <v>145</v>
      </c>
      <c r="K79" s="1" t="s">
        <v>262</v>
      </c>
      <c r="L79" s="1"/>
      <c r="M79" s="1"/>
      <c r="N79" s="1" t="str">
        <f>"All allies receive increased healing by "&amp;TEXT((G79-1)*100,"0")&amp;"%."</f>
        <v>All allies receive increased healing by 50%.</v>
      </c>
      <c r="O79" s="9" t="s">
        <v>90</v>
      </c>
    </row>
    <row r="80" spans="1:15" x14ac:dyDescent="0.25">
      <c r="A80" s="2">
        <v>79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10" t="s">
        <v>95</v>
      </c>
    </row>
    <row r="81" spans="1:15" x14ac:dyDescent="0.25">
      <c r="A81" s="1">
        <v>80</v>
      </c>
      <c r="B81" s="1" t="s">
        <v>76</v>
      </c>
      <c r="C81" s="1" t="s">
        <v>14</v>
      </c>
      <c r="D81" s="1" t="s">
        <v>114</v>
      </c>
      <c r="E81" s="1"/>
      <c r="F81" s="1" t="s">
        <v>20</v>
      </c>
      <c r="G81" s="1">
        <v>1.4</v>
      </c>
      <c r="H81" s="1"/>
      <c r="I81" s="1"/>
      <c r="J81" s="1"/>
      <c r="K81" s="1" t="s">
        <v>262</v>
      </c>
      <c r="L81" s="1">
        <v>5</v>
      </c>
      <c r="M81" s="1" t="s">
        <v>267</v>
      </c>
      <c r="N81" s="1" t="str">
        <f>IF(C81="passive","",IF(C81="on_battle_start","On Battle Start: ",IF(C81="on_hit","On Hit: ",IF(C81="on_round_start","On Round Start: ",IF(C81="after_attack","After Attack: ",IF(C81="on_attack","On Attack: ",IF(C81="on_faint","On Faint: ",IF(C81="before_attack","Before Attack: ",IF(C81="before_hit","Before Hit: ",IF(C81="on_ally_faint","On Ally Faint: ",IF(C81="on_kill","On Kill: ",IF(C81="on_debuff","On Debuff: ",IF(C81="on_heal","On Heal: ","")))))))))))))&amp;"Increases Attack by "&amp;TEXT((G81-1)*100,"0")&amp;"%."</f>
        <v>On Hit: Increases Attack by 40%.</v>
      </c>
      <c r="O81" s="9" t="s">
        <v>90</v>
      </c>
    </row>
    <row r="82" spans="1:15" x14ac:dyDescent="0.25">
      <c r="A82" s="2">
        <v>81</v>
      </c>
      <c r="B82" s="2" t="s">
        <v>149</v>
      </c>
      <c r="C82" s="2" t="s">
        <v>18</v>
      </c>
      <c r="D82" s="2" t="s">
        <v>114</v>
      </c>
      <c r="E82" s="2"/>
      <c r="F82" s="2" t="s">
        <v>21</v>
      </c>
      <c r="G82" s="2">
        <v>1.5</v>
      </c>
      <c r="H82" s="2" t="s">
        <v>79</v>
      </c>
      <c r="I82" s="2"/>
      <c r="J82" s="2"/>
      <c r="K82" s="2" t="s">
        <v>262</v>
      </c>
      <c r="L82" s="2"/>
      <c r="M82" s="2"/>
      <c r="N82" s="2" t="str">
        <f>"Boosts Speed by "&amp;TEXT((G82-1)*100,"0")&amp;"% during a sandstorm."</f>
        <v>Boosts Speed by 50% during a sandstorm.</v>
      </c>
      <c r="O82" s="10" t="s">
        <v>95</v>
      </c>
    </row>
    <row r="83" spans="1:15" x14ac:dyDescent="0.25">
      <c r="A83" s="1">
        <v>82</v>
      </c>
      <c r="B83" s="1" t="s">
        <v>80</v>
      </c>
      <c r="C83" s="1" t="s">
        <v>18</v>
      </c>
      <c r="D83" s="1" t="s">
        <v>132</v>
      </c>
      <c r="E83" s="1"/>
      <c r="F83" s="1" t="s">
        <v>20</v>
      </c>
      <c r="G83" s="1">
        <v>1.2</v>
      </c>
      <c r="H83" s="1" t="s">
        <v>47</v>
      </c>
      <c r="I83" s="1"/>
      <c r="J83" s="1"/>
      <c r="K83" s="1" t="s">
        <v>262</v>
      </c>
      <c r="L83" s="1"/>
      <c r="M83" s="1"/>
      <c r="N83" s="1" t="str">
        <f>"Boosts all allies' Attack by "&amp;TEXT((G83-1)*100,"0")&amp;"% in sunlight."</f>
        <v>Boosts all allies' Attack by 20% in sunlight.</v>
      </c>
      <c r="O83" s="9" t="s">
        <v>90</v>
      </c>
    </row>
    <row r="84" spans="1:15" x14ac:dyDescent="0.25">
      <c r="A84" s="2">
        <v>83</v>
      </c>
      <c r="B84" s="2" t="s">
        <v>241</v>
      </c>
      <c r="C84" s="2" t="s">
        <v>18</v>
      </c>
      <c r="D84" s="2" t="s">
        <v>114</v>
      </c>
      <c r="E84" s="2"/>
      <c r="F84" s="2" t="s">
        <v>19</v>
      </c>
      <c r="G84" s="2">
        <v>0.6</v>
      </c>
      <c r="H84" s="2" t="s">
        <v>79</v>
      </c>
      <c r="I84" s="2"/>
      <c r="J84" s="2"/>
      <c r="K84" s="2" t="s">
        <v>262</v>
      </c>
      <c r="L84" s="2">
        <v>4</v>
      </c>
      <c r="M84" s="2" t="s">
        <v>267</v>
      </c>
      <c r="N84" s="2" t="str">
        <f>"Reduces all incoming damage by "&amp;TEXT((1-G84)*100,"0")&amp;"% during a sandstorm."</f>
        <v>Reduces all incoming damage by 40% during a sandstorm.</v>
      </c>
      <c r="O84" s="10" t="s">
        <v>95</v>
      </c>
    </row>
    <row r="85" spans="1:15" x14ac:dyDescent="0.25">
      <c r="A85" s="1">
        <v>84</v>
      </c>
      <c r="B85" s="1" t="s">
        <v>414</v>
      </c>
      <c r="C85" s="1" t="s">
        <v>8</v>
      </c>
      <c r="D85" s="1" t="s">
        <v>144</v>
      </c>
      <c r="E85" s="1">
        <v>2</v>
      </c>
      <c r="F85" s="1" t="s">
        <v>134</v>
      </c>
      <c r="G85" s="1">
        <v>0.5</v>
      </c>
      <c r="H85" s="1"/>
      <c r="I85" s="1"/>
      <c r="J85" s="1"/>
      <c r="K85" s="1" t="s">
        <v>269</v>
      </c>
      <c r="L85" s="1">
        <v>4</v>
      </c>
      <c r="M85" s="1" t="s">
        <v>268</v>
      </c>
      <c r="N85" s="1" t="str">
        <f>IF(C85="passive","",IF(C85="on_battle_start","On Battle Start: ",IF(C85="on_hit","On Hit: ",IF(C85="on_round_start","On Round Start: ",IF(C85="after_attack","After Attack: ",IF(C85="on_attack","On Attack: ",IF(C85="on_faint","On Faint: ",IF(C85="before_attack","Before Attack: ",IF(C85="before_hit","Before Hit: ",IF(C85="on_ally_faint","On Ally Faint: ",IF(C85="on_kill","On Kill: ",IF(C85="on_debuff","On Debuff: ",IF(C85="on_heal","On Heal: ","")))))))))))))&amp;"Reduces last two enemy's Speed by "&amp;TEXT((1-G85)*100,"0")&amp;"%."</f>
        <v>On Battle Start: Reduces last two enemy's Speed by 50%.</v>
      </c>
      <c r="O85" s="8" t="s">
        <v>88</v>
      </c>
    </row>
    <row r="86" spans="1:15" x14ac:dyDescent="0.25">
      <c r="A86" s="2">
        <v>85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</row>
    <row r="87" spans="1:15" x14ac:dyDescent="0.25">
      <c r="A87" s="1">
        <v>86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5" x14ac:dyDescent="0.25">
      <c r="A88" s="2">
        <v>87</v>
      </c>
      <c r="B88" s="2" t="s">
        <v>415</v>
      </c>
      <c r="C88" s="2" t="s">
        <v>14</v>
      </c>
      <c r="D88" s="2" t="s">
        <v>201</v>
      </c>
      <c r="E88" s="2">
        <v>2</v>
      </c>
      <c r="F88" s="2" t="s">
        <v>246</v>
      </c>
      <c r="G88" s="2">
        <v>1.2</v>
      </c>
      <c r="H88" s="2"/>
      <c r="I88" s="2"/>
      <c r="J88" s="2"/>
      <c r="K88" s="2" t="s">
        <v>262</v>
      </c>
      <c r="L88" s="2">
        <v>5</v>
      </c>
      <c r="M88" s="2" t="s">
        <v>267</v>
      </c>
      <c r="N88" s="2" t="str">
        <f>IF(C88="passive","",IF(C88="on_battle_start","On Battle Start: ",IF(C88="on_hit","On Hit: ",IF(C88="on_round_start","On Round Start: ",IF(C88="after_attack","After Attack: ",IF(C88="on_attack","On Attack: ",IF(C88="on_faint","On Faint: ",IF(C88="before_attack","Before Attack: ",IF(C88="before_hit","Before Hit: ",IF(C88="on_ally_faint","On Ally Faint: ",IF(C88="on_kill","On Kill: ",IF(C88="on_debuff","On Debuff: ",IF(C88="on_heal","On Heal: ","")))))))))))))&amp;"Increases Speed and Attack of two random allies by "&amp;(G88-1)*100&amp;"%."</f>
        <v>On Hit: Increases Speed and Attack of two random allies by 20%.</v>
      </c>
    </row>
    <row r="89" spans="1:15" x14ac:dyDescent="0.25">
      <c r="A89" s="1">
        <v>88</v>
      </c>
      <c r="B89" s="1" t="s">
        <v>402</v>
      </c>
      <c r="C89" s="1" t="s">
        <v>14</v>
      </c>
      <c r="D89" s="1" t="s">
        <v>201</v>
      </c>
      <c r="E89" s="1">
        <v>2</v>
      </c>
      <c r="F89" s="1" t="s">
        <v>411</v>
      </c>
      <c r="G89" s="1">
        <v>20</v>
      </c>
      <c r="H89" s="1"/>
      <c r="I89" s="1"/>
      <c r="J89" s="1"/>
      <c r="K89" s="1" t="s">
        <v>262</v>
      </c>
      <c r="L89" s="1">
        <v>5</v>
      </c>
      <c r="M89" s="1" t="s">
        <v>267</v>
      </c>
      <c r="N89" s="1" t="str">
        <f>IF(C89="passive","",IF(C89="on_battle_start","On Battle Start: ",IF(C89="on_hit","On Hit: ",IF(C89="on_round_start","On Round Start: ",IF(C89="after_attack","After Attack: ",IF(C89="on_attack","On Attack: ",IF(C89="on_faint","On Faint: ",IF(C89="before_attack","Before Attack: ",IF(C89="before_hit","Before Hit: ",IF(C89="on_ally_faint","On Ally Faint: ",IF(C89="on_kill","On Kill: ",IF(C89="on_debuff","On Debuff: ",IF(C89="on_heal","On Heal: ","")))))))))))))&amp;"Increases Speed of two random allies by "&amp;G89&amp;"."</f>
        <v>On Hit: Increases Speed of two random allies by 20.</v>
      </c>
    </row>
    <row r="90" spans="1:15" x14ac:dyDescent="0.25">
      <c r="A90" s="2">
        <v>89</v>
      </c>
      <c r="B90" s="2" t="s">
        <v>162</v>
      </c>
      <c r="C90" s="2" t="s">
        <v>8</v>
      </c>
      <c r="D90" s="2" t="s">
        <v>144</v>
      </c>
      <c r="E90" s="2">
        <v>2</v>
      </c>
      <c r="F90" s="2" t="s">
        <v>123</v>
      </c>
      <c r="G90" s="2">
        <v>0.75</v>
      </c>
      <c r="H90" s="2"/>
      <c r="I90" s="2"/>
      <c r="J90" s="2"/>
      <c r="K90" s="2" t="s">
        <v>269</v>
      </c>
      <c r="L90" s="2">
        <v>0</v>
      </c>
      <c r="M90" s="2" t="s">
        <v>395</v>
      </c>
      <c r="N90" s="2" t="str">
        <f>IF(C90="passive","",IF(C90="on_battle_start","On Battle Start: ",IF(C90="on_hit","On Hit: ",IF(C90="on_round_start","On Round Start: ",IF(C90="after_attack","After Attack: ",IF(C90="on_attack","On Attack: ",IF(C90="on_faint","On Faint: ",IF(C90="before_attack","Before Attack: ",IF(C90="before_hit","Before Hit: ",IF(C90="on_ally_faint","On Ally Faint: ",IF(C90="on_kill","On Kill: ",IF(C90="on_debuff","On Debuff: ",IF(C90="on_heal","On Heal: ","")))))))))))))&amp;"The last two enemy Pokémon get their attack reduced by "&amp;TEXT(((1-G90))*100,"0")&amp;"%."</f>
        <v>On Battle Start: The last two enemy Pokémon get their attack reduced by 25%.</v>
      </c>
      <c r="O90" s="5" t="s">
        <v>85</v>
      </c>
    </row>
    <row r="91" spans="1:15" x14ac:dyDescent="0.25">
      <c r="A91" s="1">
        <v>90</v>
      </c>
      <c r="B91" s="1" t="s">
        <v>163</v>
      </c>
      <c r="C91" s="1" t="s">
        <v>12</v>
      </c>
      <c r="D91" s="1" t="s">
        <v>114</v>
      </c>
      <c r="E91" s="1"/>
      <c r="F91" s="1" t="s">
        <v>416</v>
      </c>
      <c r="G91" s="1">
        <v>0.5</v>
      </c>
      <c r="H91" s="1"/>
      <c r="I91" s="1"/>
      <c r="J91" s="1"/>
      <c r="K91" s="1" t="s">
        <v>261</v>
      </c>
      <c r="L91" s="1">
        <v>5</v>
      </c>
      <c r="M91" s="1" t="s">
        <v>150</v>
      </c>
      <c r="N91" s="1" t="str">
        <f>IF(C91="passive","",IF(C91="on_battle_start","On Battle Start: ",IF(C91="on_hit","On Hit: ",IF(C91="on_round_start","On Round Start: ",IF(C91="after_attack","After Attack: ",IF(C91="on_attack","On Attack: ",IF(C91="on_faint","On Faint: ",IF(C91="before_attack","Before Attack: ",IF(C91="before_hit","Before Hit: ",IF(C91="on_ally_faint","On Ally Faint: ",IF(C91="on_kill","On Kill: ",IF(C91="on_debuff","On Debuff: ",IF(C91="on_heal","On Heal: ","")))))))))))))&amp;"Heals self for "&amp;TEXT(G91*100,"0")&amp;"% of damage done."</f>
        <v>After Attack: Heals self for 50% of damage done.</v>
      </c>
      <c r="O91" s="7" t="s">
        <v>87</v>
      </c>
    </row>
    <row r="92" spans="1:15" x14ac:dyDescent="0.25">
      <c r="A92" s="2">
        <v>91</v>
      </c>
      <c r="B92" s="2" t="s">
        <v>194</v>
      </c>
      <c r="C92" s="2" t="s">
        <v>193</v>
      </c>
      <c r="D92" s="2" t="s">
        <v>114</v>
      </c>
      <c r="E92" s="2"/>
      <c r="F92" s="2" t="s">
        <v>20</v>
      </c>
      <c r="G92" s="2">
        <v>1.1000000000000001</v>
      </c>
      <c r="H92" s="2"/>
      <c r="I92" s="2"/>
      <c r="J92" s="2"/>
      <c r="K92" s="2" t="s">
        <v>262</v>
      </c>
      <c r="L92" s="2"/>
      <c r="M92" s="2"/>
      <c r="N92" s="2" t="str">
        <f>IF(C92="passive","",IF(C92="on_battle_start","On Battle Start: ",IF(C92="on_hit","On Hit: ",IF(C92="on_round_start","On Round Start: ",IF(C92="after_attack","After Attack: ",IF(C92="on_attack","On Attack: ",IF(C92="on_faint","On Faint: ",IF(C92="before_attack","Before Attack: ",IF(C92="before_hit","Before Hit: ",IF(C92="on_ally_faint","On Ally Faint: ",IF(C92="on_kill","On Kill: ",IF(C92="on_debuff","On Debuff: ",IF(C92="on_heal","On Heal: ","")))))))))))))&amp;"Boosts own Attack by "&amp;TEXT((G92-1)*100,"0")&amp;"% when any stat is lowered."</f>
        <v>On Debuff: Boosts own Attack by 10% when any stat is lowered.</v>
      </c>
      <c r="O92" s="9" t="s">
        <v>90</v>
      </c>
    </row>
    <row r="93" spans="1:15" x14ac:dyDescent="0.25">
      <c r="A93" s="1">
        <v>92</v>
      </c>
      <c r="B93" s="1" t="s">
        <v>164</v>
      </c>
      <c r="C93" s="1" t="s">
        <v>15</v>
      </c>
      <c r="D93" s="1" t="s">
        <v>137</v>
      </c>
      <c r="E93" s="1"/>
      <c r="F93" s="1" t="s">
        <v>123</v>
      </c>
      <c r="G93" s="1">
        <v>0.15</v>
      </c>
      <c r="H93" s="1"/>
      <c r="I93" s="1"/>
      <c r="J93" s="1"/>
      <c r="K93" s="1" t="s">
        <v>269</v>
      </c>
      <c r="L93" s="1"/>
      <c r="M93" s="1"/>
      <c r="N93" s="1" t="str">
        <f>IF(C93="passive","",IF(C93="on_battle_start","On Battle Start: ",IF(C93="on_hit","On Hit: ",IF(C93="on_round_start","On Round Start: ",IF(C93="after_attack","After Attack: ",IF(C93="on_attack","On Attack: ",IF(C93="on_faint","On Faint: ",IF(C93="before_attack","Before Attack: ",IF(C93="before_hit","Before Hit: ",IF(C93="on_ally_faint","On Ally Faint: ",IF(C93="on_kill","On Kill: ",IF(C93="on_debuff","On Debuff: ",IF(C93="on_heal","On Heal: ","")))))))))))))&amp;"Reduces all enemies' Attack by "&amp;TEXT(G93*100,"0")&amp;"%."</f>
        <v>On Faint: Reduces all enemies' Attack by 15%.</v>
      </c>
      <c r="O93" s="9" t="s">
        <v>90</v>
      </c>
    </row>
    <row r="94" spans="1:15" x14ac:dyDescent="0.25">
      <c r="A94" s="2">
        <v>93</v>
      </c>
      <c r="B94" s="2" t="s">
        <v>165</v>
      </c>
      <c r="C94" s="2" t="s">
        <v>11</v>
      </c>
      <c r="D94" s="2" t="s">
        <v>122</v>
      </c>
      <c r="E94" s="2">
        <v>1</v>
      </c>
      <c r="F94" s="2" t="s">
        <v>412</v>
      </c>
      <c r="G94" s="2">
        <v>0.35</v>
      </c>
      <c r="H94" s="2"/>
      <c r="I94" s="2"/>
      <c r="J94" s="2"/>
      <c r="K94" s="2"/>
      <c r="L94" s="2"/>
      <c r="M94" s="2"/>
      <c r="N94" s="2" t="str">
        <f>IF(C94="passive","",IF(C94="on_battle_start","On Battle Start: ",IF(C94="on_hit","On Hit: ",IF(C94="on_round_start","On Round Start: ",IF(C94="after_attack","After Attack: ",IF(C94="on_attack","On Attack: ",IF(C94="on_faint","On Faint: ",IF(C94="before_attack","Before Attack: ",IF(C94="before_hit","Before Hit: ",IF(C94="on_ally_faint","On Ally Faint: ",IF(C94="on_kill","On Kill: ",IF(C94="on_debuff","On Debuff: ",IF(C94="on_heal","On Heal: ","")))))))))))))&amp;"Deals damage equal to "&amp;TEXT(G94*100,"0")&amp;"% of the user's max HP."</f>
        <v>On Attack: Deals damage equal to 35% of the user's max HP.</v>
      </c>
      <c r="O94" s="13" t="s">
        <v>90</v>
      </c>
    </row>
    <row r="95" spans="1:15" x14ac:dyDescent="0.25">
      <c r="A95" s="1">
        <v>94</v>
      </c>
      <c r="B95" s="13" t="s">
        <v>167</v>
      </c>
      <c r="C95" s="13" t="s">
        <v>11</v>
      </c>
      <c r="D95" s="13" t="s">
        <v>122</v>
      </c>
      <c r="E95" s="13">
        <v>1</v>
      </c>
      <c r="F95" s="13" t="s">
        <v>168</v>
      </c>
      <c r="G95" s="13">
        <v>2</v>
      </c>
      <c r="H95" s="13" t="s">
        <v>169</v>
      </c>
      <c r="I95" s="13"/>
      <c r="J95" s="13"/>
      <c r="K95" s="1"/>
      <c r="L95" s="1"/>
      <c r="M95" s="1"/>
      <c r="N95" s="13" t="str">
        <f>IF(C95="passive","",IF(C95="on_battle_start","On Battle Start: ",IF(C95="on_hit","On Hit: ",IF(C95="on_round_start","On Round Start: ",IF(C95="after_attack","After Attack: ",IF(C95="on_attack","On Attack: ",IF(C95="on_faint","On Faint: ",IF(C95="before_attack","Before Attack: ",IF(C95="before_hit","Before Hit: ",IF(C95="on_ally_faint","On Ally Faint: ",IF(C95="on_kill","On Kill: ",IF(C95="on_debuff","On Debuff: ",IF(C95="on_heal","On Heal: ","")))))))))))))&amp;IF(G95=2,"Deals double damage if the user attacks after the target this round.","Deals "&amp;TEXT(G95,"0.0")&amp;"x damage if the user attacks after the target this round.")</f>
        <v>On Attack: Deals double damage if the user attacks after the target this round.</v>
      </c>
      <c r="O95" s="13" t="s">
        <v>90</v>
      </c>
    </row>
    <row r="96" spans="1:15" x14ac:dyDescent="0.25">
      <c r="A96" s="2">
        <v>95</v>
      </c>
      <c r="B96" s="13" t="s">
        <v>170</v>
      </c>
      <c r="C96" s="13" t="s">
        <v>11</v>
      </c>
      <c r="D96" s="13" t="s">
        <v>122</v>
      </c>
      <c r="E96" s="13">
        <v>1</v>
      </c>
      <c r="F96" s="13" t="s">
        <v>171</v>
      </c>
      <c r="G96" s="13">
        <v>1.3</v>
      </c>
      <c r="H96" s="13" t="s">
        <v>172</v>
      </c>
      <c r="I96" s="13"/>
      <c r="J96" s="13"/>
      <c r="K96" s="2"/>
      <c r="L96" s="2"/>
      <c r="M96" s="2"/>
      <c r="N96" s="13" t="str">
        <f>IF(C96="passive","",IF(C96="on_battle_start","On Battle Start: ",IF(C96="on_hit","On Hit: ",IF(C96="on_round_start","On Round Start: ",IF(C96="after_attack","After Attack: ",IF(C96="on_attack","On Attack: ",IF(C96="on_faint","On Faint: ",IF(C96="before_attack","Before Attack: ",IF(C96="before_hit","Before Hit: ",IF(C96="on_ally_faint","On Ally Faint: ",IF(C96="on_kill","On Kill: ",IF(C96="on_debuff","On Debuff: ",IF(C96="on_heal","On Heal: ","")))))))))))))&amp;"Increases Attack by "&amp;TEXT((G96-1)*100,"0")&amp;"% for each active buff on the target."</f>
        <v>On Attack: Increases Attack by 30% for each active buff on the target.</v>
      </c>
      <c r="O96" s="13" t="s">
        <v>90</v>
      </c>
    </row>
    <row r="97" spans="1:17" x14ac:dyDescent="0.25">
      <c r="A97" s="1">
        <v>96</v>
      </c>
      <c r="B97" s="1" t="s">
        <v>173</v>
      </c>
      <c r="C97" s="1" t="s">
        <v>11</v>
      </c>
      <c r="D97" s="1" t="s">
        <v>122</v>
      </c>
      <c r="E97" s="1">
        <v>1</v>
      </c>
      <c r="F97" s="1" t="s">
        <v>123</v>
      </c>
      <c r="G97" s="1">
        <v>0.7</v>
      </c>
      <c r="H97" s="1"/>
      <c r="I97" s="1"/>
      <c r="J97" s="1"/>
      <c r="K97" s="1" t="s">
        <v>269</v>
      </c>
      <c r="L97" s="1"/>
      <c r="M97" s="1"/>
      <c r="N97" s="1" t="str">
        <f>IF(C97="passive","",IF(C97="on_battle_start","On Battle Start: ",IF(C97="on_hit","On Hit: ",IF(C97="on_round_start","On Round Start: ",IF(C97="after_attack","After Attack: ",IF(C97="on_attack","On Attack: ",IF(C97="on_faint","On Faint: ",IF(C97="before_attack","Before Attack: ",IF(C97="before_hit","Before Hit: ",IF(C97="on_ally_faint","On Ally Faint: ",IF(C97="on_kill","On Kill: ",IF(C97="on_debuff","On Debuff: ",IF(C97="on_heal","On Heal: ","")))))))))))))&amp;"Knocks off the held item of the target."</f>
        <v>On Attack: Knocks off the held item of the target.</v>
      </c>
      <c r="O97" s="9" t="s">
        <v>90</v>
      </c>
    </row>
    <row r="98" spans="1:17" x14ac:dyDescent="0.25">
      <c r="A98" s="2">
        <v>97</v>
      </c>
      <c r="B98" s="2" t="s">
        <v>174</v>
      </c>
      <c r="C98" s="2" t="s">
        <v>8</v>
      </c>
      <c r="D98" s="2" t="s">
        <v>235</v>
      </c>
      <c r="E98" s="2"/>
      <c r="F98" s="2" t="s">
        <v>256</v>
      </c>
      <c r="G98" s="2">
        <v>1.2</v>
      </c>
      <c r="H98" s="2"/>
      <c r="I98" s="2"/>
      <c r="J98" s="2"/>
      <c r="K98" s="2" t="s">
        <v>269</v>
      </c>
      <c r="L98" s="2">
        <v>3</v>
      </c>
      <c r="M98" s="2" t="s">
        <v>268</v>
      </c>
      <c r="N98" s="2" t="str">
        <f>IF(C98="passive","",IF(C98="on_battle_start","On Battle Start: ",IF(C98="on_hit","On Hit: ",IF(C98="on_round_start","On Round Start: ",IF(C98="after_attack","After Attack: ",IF(C98="on_attack","On Attack: ",IF(C98="on_faint","On Faint: ",IF(C98="before_attack","Before Attack: ",IF(C98="before_hit","Before Hit: ",IF(C98="on_ally_faint","On Ally Faint: ",IF(C98="on_kill","On Kill: ",IF(C98="on_debuff","On Debuff: ",IF(C98="on_heal","On Heal: ","")))))))))))))&amp;IF(G98=2,"Second enemy Pokémon takes double damage from the next hit they receive.","Second enemy Pokémon takes "&amp;TEXT((G98-1)*100,"0")&amp;"% more damage from the next hit they receive.")</f>
        <v>On Battle Start: Second enemy Pokémon takes 20% more damage from the next hit they receive.</v>
      </c>
      <c r="O98" s="9" t="s">
        <v>90</v>
      </c>
    </row>
    <row r="99" spans="1:17" x14ac:dyDescent="0.25">
      <c r="A99" s="1">
        <v>98</v>
      </c>
      <c r="B99" s="1" t="s">
        <v>176</v>
      </c>
      <c r="C99" s="1" t="s">
        <v>8</v>
      </c>
      <c r="D99" s="1" t="s">
        <v>137</v>
      </c>
      <c r="E99" s="1"/>
      <c r="F99" s="1" t="s">
        <v>256</v>
      </c>
      <c r="G99" s="1">
        <v>1.1000000000000001</v>
      </c>
      <c r="H99" s="1"/>
      <c r="I99" s="1"/>
      <c r="J99" s="1"/>
      <c r="K99" s="1" t="s">
        <v>269</v>
      </c>
      <c r="L99" s="1">
        <v>3</v>
      </c>
      <c r="M99" s="1" t="s">
        <v>268</v>
      </c>
      <c r="N99" s="1" t="str">
        <f>IF(C99="passive","",IF(C99="on_battle_start","On Battle Start: ",IF(C99="on_hit","On Hit: ",IF(C99="on_round_start","On Round Start: ",IF(C99="after_attack","After Attack: ",IF(C99="on_attack","On Attack: ",IF(C99="on_faint","On Faint: ",IF(C99="before_attack","Before Attack: ",IF(C99="before_hit","Before Hit: ",IF(C99="on_ally_faint","On Ally Faint: ",IF(C99="on_kill","On Kill: ",IF(C99="on_debuff","On Debuff: ",IF(C99="on_heal","On Heal: ","")))))))))))))&amp;"All enemy Pokémon take "&amp;TEXT((G99-1)*100,"0")&amp;"% more damage from the next hit they receive."</f>
        <v>On Battle Start: All enemy Pokémon take 10% more damage from the next hit they receive.</v>
      </c>
      <c r="O99" s="9" t="s">
        <v>90</v>
      </c>
      <c r="P99" s="1"/>
      <c r="Q99" s="1"/>
    </row>
    <row r="100" spans="1:17" x14ac:dyDescent="0.25">
      <c r="A100" s="2">
        <v>99</v>
      </c>
      <c r="B100" s="2" t="s">
        <v>177</v>
      </c>
      <c r="C100" s="2" t="s">
        <v>11</v>
      </c>
      <c r="D100" s="2" t="s">
        <v>137</v>
      </c>
      <c r="E100" s="2"/>
      <c r="F100" s="2" t="s">
        <v>123</v>
      </c>
      <c r="G100" s="2">
        <v>0.85</v>
      </c>
      <c r="H100" s="2"/>
      <c r="I100" s="2"/>
      <c r="J100" s="2"/>
      <c r="K100" s="2" t="s">
        <v>269</v>
      </c>
      <c r="L100" s="2"/>
      <c r="M100" s="2"/>
      <c r="N100" s="2" t="str">
        <f>IF(C100="passive","",IF(C100="on_battle_start","On Battle Start: ",IF(C100="on_hit","On Hit: ",IF(C100="on_round_start","On Round Start: ",IF(C100="after_attack","After Attack: ",IF(C100="on_attack","On Attack: ",IF(C100="on_faint","On Faint: ",IF(C100="before_attack","Before Attack: ",IF(C100="before_hit","Before Hit: ",IF(C100="on_ally_faint","On Ally Faint: ",IF(C100="on_kill","On Kill: ",IF(C100="on_debuff","On Debuff: ",IF(C100="on_heal","On Heal: ","")))))))))))))&amp;"All enemies' Attack reduced by "&amp;TEXT((1-G100)*100,"0")&amp;"% until end of round."</f>
        <v>On Attack: All enemies' Attack reduced by 15% until end of round.</v>
      </c>
      <c r="O100" s="9" t="s">
        <v>90</v>
      </c>
    </row>
    <row r="101" spans="1:17" x14ac:dyDescent="0.25">
      <c r="A101" s="1">
        <v>100</v>
      </c>
      <c r="B101" s="1" t="s">
        <v>178</v>
      </c>
      <c r="C101" s="1" t="s">
        <v>8</v>
      </c>
      <c r="D101" s="1" t="s">
        <v>219</v>
      </c>
      <c r="E101" s="1"/>
      <c r="F101" s="1" t="s">
        <v>123</v>
      </c>
      <c r="G101" s="1">
        <v>0.5</v>
      </c>
      <c r="H101" s="1"/>
      <c r="I101" s="1"/>
      <c r="J101" s="1"/>
      <c r="K101" s="1" t="s">
        <v>269</v>
      </c>
      <c r="L101" s="1"/>
      <c r="M101" s="1"/>
      <c r="N101" s="1" t="str">
        <f>IF(C101="passive","",IF(C101="on_battle_start","On Battle Start: ",IF(C101="on_hit","On Hit: ",IF(C101="on_round_start","On Round Start: ",IF(C101="after_attack","After Attack: ",IF(C101="on_attack","On Attack: ",IF(C101="on_faint","On Faint: ",IF(C101="before_attack","Before Attack: ",IF(C101="before_hit","Before Hit: ",IF(C101="on_ally_faint","On Ally Faint: ",IF(C101="on_kill","On Kill: ",IF(C101="on_debuff","On Debuff: ",IF(C101="on_heal","On Heal: ","")))))))))))))&amp;"Reduces attack of a random enemy by 50%."</f>
        <v>On Battle Start: Reduces attack of a random enemy by 50%.</v>
      </c>
      <c r="O101" s="9" t="s">
        <v>90</v>
      </c>
    </row>
    <row r="102" spans="1:17" x14ac:dyDescent="0.25">
      <c r="A102" s="2">
        <v>101</v>
      </c>
      <c r="B102" s="2" t="s">
        <v>179</v>
      </c>
      <c r="C102" s="2" t="s">
        <v>8</v>
      </c>
      <c r="D102" s="2" t="s">
        <v>144</v>
      </c>
      <c r="E102" s="2">
        <v>1</v>
      </c>
      <c r="F102" s="2" t="s">
        <v>134</v>
      </c>
      <c r="G102" s="2">
        <v>0.5</v>
      </c>
      <c r="H102" s="2"/>
      <c r="I102" s="2"/>
      <c r="J102" s="2"/>
      <c r="K102" s="2" t="s">
        <v>269</v>
      </c>
      <c r="L102" s="2"/>
      <c r="M102" s="2"/>
      <c r="N102" s="2" t="str">
        <f>IF(C102="passive","",IF(C102="on_battle_start","On Battle Start: ",IF(C102="on_hit","On Hit: ",IF(C102="on_round_start","On Round Start: ",IF(C102="after_attack","After Attack: ",IF(C102="on_attack","On Attack: ",IF(C102="on_faint","On Faint: ",IF(C102="before_attack","Before Attack: ",IF(C102="before_hit","Before Hit: ",IF(C102="on_ally_faint","On Ally Faint: ",IF(C102="on_kill","On Kill: ",IF(C102="on_debuff","On Debuff: ",IF(C102="on_heal","On Heal: ","")))))))))))))&amp;IF(G102=0.5,"Reduces the last enemy's Speed by half.","Reduces the last enemy's Speed by "&amp;TEXT((1-G102)*100,"0")&amp;"%.")</f>
        <v>On Battle Start: Reduces the last enemy's Speed by half.</v>
      </c>
      <c r="O102" s="9" t="s">
        <v>90</v>
      </c>
    </row>
    <row r="103" spans="1:17" x14ac:dyDescent="0.25">
      <c r="A103" s="1">
        <v>102</v>
      </c>
      <c r="B103" s="13" t="s">
        <v>180</v>
      </c>
      <c r="C103" s="13" t="s">
        <v>8</v>
      </c>
      <c r="D103" s="13" t="s">
        <v>137</v>
      </c>
      <c r="E103" s="13"/>
      <c r="F103" s="13" t="s">
        <v>181</v>
      </c>
      <c r="G103" s="13">
        <v>0.5</v>
      </c>
      <c r="H103" s="13"/>
      <c r="I103" s="13"/>
      <c r="J103" s="13"/>
      <c r="K103" s="1"/>
      <c r="L103" s="1"/>
      <c r="M103" s="1"/>
      <c r="N103" s="13" t="str">
        <f>IF(C103="passive","",IF(C103="on_battle_start","On Battle Start: ",IF(C103="on_hit","On Hit: ",IF(C103="on_round_start","On Round Start: ",IF(C103="after_attack","After Attack: ",IF(C103="on_attack","On Attack: ",IF(C103="on_faint","On Faint: ",IF(C103="before_attack","Before Attack: ",IF(C103="before_hit","Before Hit: ",IF(C103="on_ally_faint","On Ally Faint: ",IF(C103="on_kill","On Kill: ",IF(C103="on_debuff","On Debuff: ",IF(C103="on_heal","On Heal: ","")))))))))))))&amp;IF(G103=0.5,"Halves the effectiveness of all enemies' next incoming stat buff.","Reduces the effectiveness of all enemies' next incoming stat buff by "&amp;TEXT((1-G103)*100,"0")&amp;"%.")</f>
        <v>On Battle Start: Halves the effectiveness of all enemies' next incoming stat buff.</v>
      </c>
      <c r="O103" s="13" t="s">
        <v>90</v>
      </c>
      <c r="P103" s="1"/>
    </row>
    <row r="104" spans="1:17" x14ac:dyDescent="0.25">
      <c r="A104" s="2">
        <v>103</v>
      </c>
      <c r="B104" s="2" t="s">
        <v>182</v>
      </c>
      <c r="C104" s="2" t="s">
        <v>9</v>
      </c>
      <c r="D104" s="2" t="s">
        <v>137</v>
      </c>
      <c r="E104" s="2"/>
      <c r="F104" s="2" t="s">
        <v>166</v>
      </c>
      <c r="G104" s="2">
        <v>0.05</v>
      </c>
      <c r="H104" s="2"/>
      <c r="I104" s="2"/>
      <c r="J104" s="2"/>
      <c r="K104" s="2"/>
      <c r="L104" s="2"/>
      <c r="M104" s="2"/>
      <c r="N104" s="2" t="str">
        <f>IF(C104="passive","",IF(C104="on_battle_start","On Battle Start: ",IF(C104="on_hit","On Hit: ",IF(C104="on_round_start","On Round Start: ",IF(C104="after_attack","After Attack: ",IF(C104="on_attack","On Attack: ",IF(C104="on_faint","On Faint: ",IF(C104="before_attack","Before Attack: ",IF(C104="before_hit","Before Hit: ",IF(C104="on_ally_faint","On Ally Faint: ",IF(C104="on_kill","On Kill: ",IF(C104="on_debuff","On Debuff: ",IF(C104="on_heal","On Heal: ","")))))))))))))&amp;"Poisons all enemies, dealing "&amp;TEXT(G104*100,"0")&amp;"% max HP per round."</f>
        <v>On Round Start: Poisons all enemies, dealing 5% max HP per round.</v>
      </c>
      <c r="O104" s="9" t="s">
        <v>90</v>
      </c>
    </row>
    <row r="105" spans="1:17" x14ac:dyDescent="0.25">
      <c r="A105" s="1">
        <v>104</v>
      </c>
      <c r="B105" s="1" t="s">
        <v>183</v>
      </c>
      <c r="C105" s="1" t="s">
        <v>8</v>
      </c>
      <c r="D105" s="1" t="s">
        <v>137</v>
      </c>
      <c r="E105" s="1"/>
      <c r="F105" s="1" t="s">
        <v>166</v>
      </c>
      <c r="G105" s="1">
        <v>0.2</v>
      </c>
      <c r="H105" s="1"/>
      <c r="I105" s="1"/>
      <c r="J105" s="1"/>
      <c r="K105" s="1" t="s">
        <v>272</v>
      </c>
      <c r="L105" s="1">
        <v>6</v>
      </c>
      <c r="M105" s="1" t="s">
        <v>271</v>
      </c>
      <c r="N105" s="1" t="str">
        <f>IF(C105="passive","",IF(C105="on_battle_start","On Battle Start: ",IF(C105="on_hit","On Hit: ",IF(C105="on_round_start","On Round Start: ",IF(C105="after_attack","After Attack: ",IF(C105="on_attack","On Attack: ",IF(C105="on_faint","On Faint: ",IF(C105="before_attack","Before Attack: ",IF(C105="before_hit","Before Hit: ",IF(C105="on_ally_faint","On Ally Faint: ",IF(C105="on_kill","On Kill: ",IF(C105="on_debuff","On Debuff: ",IF(C105="on_heal","On Heal: ","")))))))))))))&amp;"Deals "&amp;G105*100&amp;"% damage to all enemies."</f>
        <v>On Battle Start: Deals 20% damage to all enemies.</v>
      </c>
      <c r="O105" s="9" t="s">
        <v>90</v>
      </c>
    </row>
    <row r="106" spans="1:17" x14ac:dyDescent="0.25">
      <c r="A106" s="2">
        <v>105</v>
      </c>
      <c r="B106" s="2" t="s">
        <v>184</v>
      </c>
      <c r="C106" s="2" t="s">
        <v>11</v>
      </c>
      <c r="D106" s="2" t="s">
        <v>135</v>
      </c>
      <c r="E106" s="2">
        <v>1</v>
      </c>
      <c r="F106" s="2" t="s">
        <v>127</v>
      </c>
      <c r="G106" s="2">
        <v>0.2</v>
      </c>
      <c r="H106" s="2" t="s">
        <v>54</v>
      </c>
      <c r="I106" s="2"/>
      <c r="J106" s="2"/>
      <c r="K106" s="2"/>
      <c r="L106" s="2"/>
      <c r="M106" s="2"/>
      <c r="N106" s="2" t="str">
        <f>IF(C106="passive","",IF(C106="on_battle_start","On Battle Start: ",IF(C106="on_hit","On Hit: ",IF(C106="on_round_start","On Round Start: ",IF(C106="after_attack","After Attack: ",IF(C106="on_attack","On Attack: ",IF(C106="on_faint","On Faint: ",IF(C106="before_attack","Before Attack: ",IF(C106="before_hit","Before Hit: ",IF(C106="on_ally_faint","On Ally Faint: ",IF(C106="on_kill","On Kill: ",IF(C106="on_debuff","On Debuff: ",IF(C106="on_heal","On Heal: ","")))))))))))))&amp;"Deals "&amp;TEXT(G106*100,"0")&amp;"% damage to the next enemy (only in rain)."</f>
        <v>On Attack: Deals 20% damage to the next enemy (only in rain).</v>
      </c>
      <c r="O106" s="6" t="s">
        <v>86</v>
      </c>
    </row>
    <row r="107" spans="1:17" x14ac:dyDescent="0.25">
      <c r="A107" s="1">
        <v>106</v>
      </c>
      <c r="B107" s="1" t="s">
        <v>265</v>
      </c>
      <c r="C107" s="1" t="s">
        <v>8</v>
      </c>
      <c r="D107" s="1" t="s">
        <v>201</v>
      </c>
      <c r="E107" s="1"/>
      <c r="F107" s="1" t="s">
        <v>246</v>
      </c>
      <c r="G107" s="1">
        <v>1.1000000000000001</v>
      </c>
      <c r="H107" s="1"/>
      <c r="I107" s="1"/>
      <c r="J107" s="1"/>
      <c r="K107" s="1" t="s">
        <v>262</v>
      </c>
      <c r="L107" s="1">
        <v>5</v>
      </c>
      <c r="M107" s="1" t="s">
        <v>267</v>
      </c>
      <c r="N107" s="1" t="str">
        <f>IF(C107="passive","",IF(C107="on_battle_start","On Battle Start: ",IF(C107="on_hit","On Hit: ",IF(C107="on_round_start","On Round Start: ",IF(C107="after_attack","After Attack: ",IF(C107="on_attack","On Attack: ",IF(C107="on_faint","On Faint: ",IF(C107="before_attack","Before Attack: ",IF(C107="before_hit","Before Hit: ",IF(C107="on_ally_faint","On Ally Faint: ",IF(C107="on_kill","On Kill: ",IF(C107="on_debuff","On Debuff: ",IF(C107="on_heal","On Heal: ","")))))))))))))&amp;"A random ally increases its speed and attack by "&amp;TEXT((G107-1)*100,"0")&amp;"%."</f>
        <v>On Battle Start: A random ally increases its speed and attack by 10%.</v>
      </c>
      <c r="O107" s="5"/>
    </row>
    <row r="108" spans="1:17" x14ac:dyDescent="0.25">
      <c r="A108" s="2">
        <v>107</v>
      </c>
      <c r="B108" s="2" t="s">
        <v>232</v>
      </c>
      <c r="C108" s="2" t="s">
        <v>404</v>
      </c>
      <c r="D108" s="2" t="s">
        <v>219</v>
      </c>
      <c r="E108" s="2"/>
      <c r="F108" s="2" t="s">
        <v>127</v>
      </c>
      <c r="G108" s="2">
        <v>1</v>
      </c>
      <c r="H108" s="2"/>
      <c r="I108" s="2"/>
      <c r="J108" s="2"/>
      <c r="K108" s="2" t="s">
        <v>396</v>
      </c>
      <c r="L108" s="2">
        <v>5</v>
      </c>
      <c r="M108" s="2" t="s">
        <v>271</v>
      </c>
      <c r="N108" s="2" t="str">
        <f>IF(C108="passive","",IF(C108="on_battle_start","On Battle Start: ",IF(C108="on_hit","On Hit: ",IF(C108="on_round_start","On Round Start: ",IF(C108="after_attack","After Attack: ",IF(C108="on_attack","On Attack: ",IF(C108="on_faint","On Faint: ",IF(C108="before_attack","Before Attack: ",IF(C108="before_hit","Before Hit: ",IF(C108="on_ally_faint","On Ally Faint: ",IF(C108="on_kill","On Kill: ",IF(C108="on_debuff","On Debuff: ",IF(C108="on_heal","On Heal: ","")))))))))))))&amp;"On Ally Heal: Deals "&amp;TEXT(G108*100,"0")&amp;"% of Attack as damage to a random enemy."</f>
        <v>On Ally Heal: Deals 100% of Attack as damage to a random enemy.</v>
      </c>
      <c r="O108" s="9" t="s">
        <v>90</v>
      </c>
    </row>
    <row r="109" spans="1:17" x14ac:dyDescent="0.25">
      <c r="A109" s="1">
        <v>108</v>
      </c>
      <c r="B109" s="1" t="s">
        <v>152</v>
      </c>
      <c r="C109" s="1" t="s">
        <v>8</v>
      </c>
      <c r="D109" s="1" t="s">
        <v>201</v>
      </c>
      <c r="E109" s="1"/>
      <c r="F109" s="1" t="s">
        <v>245</v>
      </c>
      <c r="G109" s="1">
        <v>1.4</v>
      </c>
      <c r="H109" s="1"/>
      <c r="I109" s="1"/>
      <c r="J109" s="1"/>
      <c r="K109" s="1" t="s">
        <v>262</v>
      </c>
      <c r="L109" s="1"/>
      <c r="M109" s="1"/>
      <c r="N109" s="1" t="str">
        <f>IF(C109="passive","",IF(C109="on_battle_start","On Battle Start: ",IF(C109="on_hit","On Hit: ",IF(C109="on_round_start","On Round Start: ",IF(C109="after_attack","After Attack: ",IF(C109="on_attack","On Attack: ",IF(C109="on_faint","On Faint: ",IF(C109="before_attack","Before Attack: ",IF(C109="before_hit","Before Hit: ",IF(C109="on_ally_faint","On Ally Faint: ",IF(C109="on_kill","On Kill: ",IF(C109="on_debuff","On Debuff: ",IF(C109="on_heal","On Heal: ","")))))))))))))&amp;"A random ally increases all stats by "&amp;TEXT((G109-1)*100,"0")&amp;"%."</f>
        <v>On Battle Start: A random ally increases all stats by 40%.</v>
      </c>
      <c r="O109" s="9" t="s">
        <v>90</v>
      </c>
    </row>
    <row r="110" spans="1:17" x14ac:dyDescent="0.25">
      <c r="A110" s="2">
        <v>109</v>
      </c>
      <c r="B110" s="2" t="s">
        <v>153</v>
      </c>
      <c r="C110" s="2" t="s">
        <v>8</v>
      </c>
      <c r="D110" s="2" t="s">
        <v>201</v>
      </c>
      <c r="E110" s="2"/>
      <c r="F110" s="2" t="s">
        <v>246</v>
      </c>
      <c r="G110" s="2">
        <v>1.2</v>
      </c>
      <c r="H110" s="2"/>
      <c r="I110" s="2"/>
      <c r="J110" s="2"/>
      <c r="K110" s="2" t="s">
        <v>262</v>
      </c>
      <c r="L110" s="2">
        <v>5</v>
      </c>
      <c r="M110" s="2" t="s">
        <v>267</v>
      </c>
      <c r="N110" s="2" t="str">
        <f>IF(C110="passive","",IF(C110="on_battle_start","On Battle Start: ",IF(C110="on_hit","On Hit: ",IF(C110="on_round_start","On Round Start: ",IF(C110="after_attack","After Attack: ",IF(C110="on_attack","On Attack: ",IF(C110="on_faint","On Faint: ",IF(C110="before_attack","Before Attack: ",IF(C110="before_hit","Before Hit: ",IF(C110="on_ally_faint","On Ally Faint: ",IF(C110="on_kill","On Kill: ",IF(C110="on_debuff","On Debuff: ",IF(C110="on_heal","On Heal: ","")))))))))))))&amp;"A random ally increases its speed and attack by "&amp;TEXT((G110-1)*100,"0")&amp;"%."</f>
        <v>On Battle Start: A random ally increases its speed and attack by 20%.</v>
      </c>
      <c r="O110" s="9" t="s">
        <v>90</v>
      </c>
    </row>
    <row r="111" spans="1:17" x14ac:dyDescent="0.25">
      <c r="A111" s="1">
        <v>110</v>
      </c>
      <c r="B111" s="1" t="s">
        <v>154</v>
      </c>
      <c r="C111" s="1" t="s">
        <v>8</v>
      </c>
      <c r="D111" s="1" t="s">
        <v>201</v>
      </c>
      <c r="E111" s="1"/>
      <c r="F111" s="1" t="s">
        <v>247</v>
      </c>
      <c r="G111" s="1">
        <v>1.2</v>
      </c>
      <c r="H111" s="1"/>
      <c r="I111" s="1"/>
      <c r="J111" s="1"/>
      <c r="K111" s="1" t="s">
        <v>262</v>
      </c>
      <c r="L111" s="1">
        <v>5</v>
      </c>
      <c r="M111" s="1" t="s">
        <v>267</v>
      </c>
      <c r="N111" s="1" t="str">
        <f>IF(C111="passive","",IF(C111="on_battle_start","On Battle Start: ",IF(C111="on_hit","On Hit: ",IF(C111="on_round_start","On Round Start: ",IF(C111="after_attack","After Attack: ",IF(C111="on_attack","On Attack: ",IF(C111="on_faint","On Faint: ",IF(C111="before_attack","Before Attack: ",IF(C111="before_hit","Before Hit: ",IF(C111="on_ally_faint","On Ally Faint: ",IF(C111="on_kill","On Kill: ",IF(C111="on_debuff","On Debuff: ",IF(C111="on_heal","On Heal: ","")))))))))))))&amp;"A random ally increases its HP by "&amp;TEXT((G111-1)*100,"0")&amp;"%."</f>
        <v>On Battle Start: A random ally increases its HP by 20%.</v>
      </c>
      <c r="O111" s="9" t="s">
        <v>90</v>
      </c>
    </row>
    <row r="112" spans="1:17" x14ac:dyDescent="0.25">
      <c r="A112" s="2">
        <v>111</v>
      </c>
      <c r="B112" s="2" t="s">
        <v>156</v>
      </c>
      <c r="C112" s="2" t="s">
        <v>8</v>
      </c>
      <c r="D112" s="2" t="s">
        <v>201</v>
      </c>
      <c r="E112" s="2"/>
      <c r="F112" s="2" t="s">
        <v>21</v>
      </c>
      <c r="G112" s="2">
        <v>1.4</v>
      </c>
      <c r="H112" s="2"/>
      <c r="I112" s="2"/>
      <c r="J112" s="2"/>
      <c r="K112" s="2" t="s">
        <v>262</v>
      </c>
      <c r="L112" s="2">
        <v>5</v>
      </c>
      <c r="M112" s="2" t="s">
        <v>267</v>
      </c>
      <c r="N112" s="2" t="str">
        <f>IF(C112="passive","",IF(C112="on_battle_start","On Battle Start: ",IF(C112="on_hit","On Hit: ",IF(C112="on_round_start","On Round Start: ",IF(C112="after_attack","After Attack: ",IF(C112="on_attack","On Attack: ",IF(C112="on_faint","On Faint: ",IF(C112="before_attack","Before Attack: ",IF(C112="before_hit","Before Hit: ",IF(C112="on_ally_faint","On Ally Faint: ",IF(C112="on_kill","On Kill: ",IF(C112="on_debuff","On Debuff: ",IF(C112="on_heal","On Heal: ","")))))))))))))&amp;"A random ally increases its Speed by "&amp;TEXT((G112-1)*100,"0")&amp;"%."</f>
        <v>On Battle Start: A random ally increases its Speed by 40%.</v>
      </c>
      <c r="O112" s="9" t="s">
        <v>90</v>
      </c>
    </row>
    <row r="113" spans="1:16" x14ac:dyDescent="0.25">
      <c r="A113" s="1">
        <v>112</v>
      </c>
      <c r="B113" s="1" t="s">
        <v>155</v>
      </c>
      <c r="C113" s="1" t="s">
        <v>8</v>
      </c>
      <c r="D113" s="1" t="s">
        <v>132</v>
      </c>
      <c r="E113" s="1"/>
      <c r="F113" s="1" t="s">
        <v>21</v>
      </c>
      <c r="G113" s="1">
        <v>1.2</v>
      </c>
      <c r="H113" s="1"/>
      <c r="I113" s="1"/>
      <c r="J113" s="1"/>
      <c r="K113" s="1" t="s">
        <v>262</v>
      </c>
      <c r="L113" s="1"/>
      <c r="M113" s="1"/>
      <c r="N113" s="1" t="str">
        <f>IF(C113="passive","",IF(C113="on_battle_start","On Battle Start: ",IF(C113="on_hit","On Hit: ",IF(C113="on_round_start","On Round Start: ",IF(C113="after_attack","After Attack: ",IF(C113="on_attack","On Attack: ",IF(C113="on_faint","On Faint: ",IF(C113="before_attack","Before Attack: ",IF(C113="before_hit","Before Hit: ",IF(C113="on_ally_faint","On Ally Faint: ",IF(C113="on_kill","On Kill: ",IF(C113="on_debuff","On Debuff: ",IF(C113="on_heal","On Heal: ","")))))))))))))&amp;"The whole team increases its Speed by "&amp;TEXT((G113-1)*100,"0")&amp;"%."</f>
        <v>On Battle Start: The whole team increases its Speed by 20%.</v>
      </c>
      <c r="O113" s="9" t="s">
        <v>90</v>
      </c>
    </row>
    <row r="114" spans="1:16" x14ac:dyDescent="0.25">
      <c r="A114" s="2">
        <v>113</v>
      </c>
      <c r="B114" s="2" t="s">
        <v>397</v>
      </c>
      <c r="C114" s="2" t="s">
        <v>8</v>
      </c>
      <c r="D114" s="2" t="s">
        <v>249</v>
      </c>
      <c r="E114" s="2">
        <v>2</v>
      </c>
      <c r="F114" s="2" t="s">
        <v>245</v>
      </c>
      <c r="G114" s="2">
        <v>1.1499999999999999</v>
      </c>
      <c r="H114" s="2"/>
      <c r="I114" s="2"/>
      <c r="J114" s="2"/>
      <c r="K114" s="2" t="s">
        <v>262</v>
      </c>
      <c r="L114" s="2">
        <v>4</v>
      </c>
      <c r="M114" s="2" t="s">
        <v>267</v>
      </c>
      <c r="N114" s="2" t="str">
        <f>IF(C114="passive","",IF(C114="on_battle_start","On Battle Start: ",IF(C114="on_hit","On Hit: ",IF(C114="on_round_start","On Round Start: ",IF(C114="after_attack","After Attack: ",IF(C114="on_attack","On Attack: ",IF(C114="on_faint","On Faint: ",IF(C114="before_attack","Before Attack: ",IF(C114="before_hit","Before Hit: ",IF(C114="on_ally_faint","On Ally Faint: ",IF(C114="on_kill","On Kill: ",IF(C114="on_debuff","On Debuff: ",IF(C114="on_heal","On Heal: ","")))))))))))))&amp;"The last two allies increase all stats by "&amp;TEXT((G114-1)*100,"0")&amp;"%."</f>
        <v>On Battle Start: The last two allies increase all stats by 15%.</v>
      </c>
      <c r="O114" s="9" t="s">
        <v>90</v>
      </c>
    </row>
    <row r="115" spans="1:16" x14ac:dyDescent="0.25">
      <c r="A115" s="1">
        <v>114</v>
      </c>
      <c r="B115" s="1" t="s">
        <v>157</v>
      </c>
      <c r="C115" s="1" t="s">
        <v>8</v>
      </c>
      <c r="D115" s="1" t="s">
        <v>238</v>
      </c>
      <c r="E115" s="1"/>
      <c r="F115" s="1" t="s">
        <v>247</v>
      </c>
      <c r="G115" s="1">
        <v>1.3</v>
      </c>
      <c r="H115" s="1"/>
      <c r="I115" s="1"/>
      <c r="J115" s="1"/>
      <c r="K115" s="1" t="s">
        <v>262</v>
      </c>
      <c r="L115" s="1">
        <v>2</v>
      </c>
      <c r="M115" s="1" t="s">
        <v>267</v>
      </c>
      <c r="N115" s="1" t="str">
        <f>IF(C115="passive","",IF(C115="on_battle_start","On Battle Start: ",IF(C115="on_hit","On Hit: ",IF(C115="on_round_start","On Round Start: ",IF(C115="after_attack","After Attack: ",IF(C115="on_attack","On Attack: ",IF(C115="on_faint","On Faint: ",IF(C115="before_attack","Before Attack: ",IF(C115="before_hit","Before Hit: ",IF(C115="on_ally_faint","On Ally Faint: ",IF(C115="on_kill","On Kill: ",IF(C115="on_debuff","On Debuff: ",IF(C115="on_heal","On Heal: ","")))))))))))))&amp;"The Pokémon behind increases its HP by "&amp;TEXT((G115-1)*100,"0")&amp;"%."</f>
        <v>On Battle Start: The Pokémon behind increases its HP by 30%.</v>
      </c>
      <c r="O115" s="9" t="s">
        <v>90</v>
      </c>
    </row>
    <row r="116" spans="1:16" x14ac:dyDescent="0.25">
      <c r="A116" s="2">
        <v>115</v>
      </c>
      <c r="B116" s="2" t="s">
        <v>158</v>
      </c>
      <c r="C116" s="2" t="s">
        <v>8</v>
      </c>
      <c r="D116" s="2" t="s">
        <v>114</v>
      </c>
      <c r="E116" s="2"/>
      <c r="F116" s="2" t="s">
        <v>410</v>
      </c>
      <c r="G116" s="2">
        <v>1.1000000000000001</v>
      </c>
      <c r="H116" s="2"/>
      <c r="I116" s="2"/>
      <c r="J116" s="2"/>
      <c r="K116" s="2" t="s">
        <v>262</v>
      </c>
      <c r="L116" s="2">
        <v>5</v>
      </c>
      <c r="M116" s="2" t="s">
        <v>267</v>
      </c>
      <c r="N116" s="2" t="str">
        <f>IF(C116="passive","",IF(C116="on_battle_start","On Battle Start: ",IF(C116="on_hit","On Hit: ",IF(C116="on_round_start","On Round Start: ",IF(C116="after_attack","After Attack: ",IF(C116="on_attack","On Attack: ",IF(C116="on_faint","On Faint: ",IF(C116="before_attack","Before Attack: ",IF(C116="before_hit","Before Hit: ",IF(C116="on_ally_faint","On Ally Faint: ",IF(C116="on_kill","On Kill: ",IF(C116="on_debuff","On Debuff: ",IF(C116="on_heal","On Heal: ","")))))))))))))&amp;"Gains "&amp;TEXT((G116-1)*100,"0")&amp;"% to all stats per unique type on the enemy team."</f>
        <v>On Battle Start: Gains 10% to all stats per unique type on the enemy team.</v>
      </c>
      <c r="O116" s="9" t="s">
        <v>90</v>
      </c>
    </row>
    <row r="117" spans="1:16" x14ac:dyDescent="0.25">
      <c r="A117" s="1">
        <v>116</v>
      </c>
      <c r="B117" s="1" t="s">
        <v>159</v>
      </c>
      <c r="C117" s="1" t="s">
        <v>8</v>
      </c>
      <c r="D117" s="1" t="s">
        <v>114</v>
      </c>
      <c r="E117" s="1"/>
      <c r="F117" s="1" t="s">
        <v>409</v>
      </c>
      <c r="G117" s="1">
        <v>1.1499999999999999</v>
      </c>
      <c r="H117" s="1"/>
      <c r="I117" s="1"/>
      <c r="J117" s="1"/>
      <c r="K117" s="1" t="s">
        <v>262</v>
      </c>
      <c r="L117" s="1">
        <v>5</v>
      </c>
      <c r="M117" s="1" t="s">
        <v>267</v>
      </c>
      <c r="N117" s="1" t="str">
        <f>IF(C117="passive","",IF(C117="on_battle_start","On Battle Start: ",IF(C117="on_hit","On Hit: ",IF(C117="on_round_start","On Round Start: ",IF(C117="after_attack","After Attack: ",IF(C117="on_attack","On Attack: ",IF(C117="on_faint","On Faint: ",IF(C117="before_attack","Before Attack: ",IF(C117="before_hit","Before Hit: ",IF(C117="on_ally_faint","On Ally Faint: ",IF(C117="on_kill","On Kill: ",IF(C117="on_debuff","On Debuff: ",IF(C117="on_heal","On Heal: ","")))))))))))))&amp;"Gains "&amp;TEXT((G117-1)*100,"0")&amp;"% to all stats per unique type on your team."</f>
        <v>On Battle Start: Gains 15% to all stats per unique type on your team.</v>
      </c>
      <c r="O117" s="9" t="s">
        <v>90</v>
      </c>
    </row>
    <row r="118" spans="1:16" x14ac:dyDescent="0.25">
      <c r="A118" s="2">
        <v>117</v>
      </c>
      <c r="B118" s="2" t="s">
        <v>160</v>
      </c>
      <c r="C118" s="2" t="s">
        <v>15</v>
      </c>
      <c r="D118" s="2" t="s">
        <v>201</v>
      </c>
      <c r="E118" s="2"/>
      <c r="F118" s="2" t="s">
        <v>21</v>
      </c>
      <c r="G118" s="2">
        <v>1.2</v>
      </c>
      <c r="H118" s="2"/>
      <c r="I118" s="2"/>
      <c r="J118" s="2"/>
      <c r="K118" s="2" t="s">
        <v>262</v>
      </c>
      <c r="L118" s="2">
        <v>0</v>
      </c>
      <c r="M118" s="2" t="s">
        <v>267</v>
      </c>
      <c r="N118" s="2" t="str">
        <f>IF(C118="passive","",IF(C118="on_battle_start","On Battle Start: ",IF(C118="on_hit","On Hit: ",IF(C118="on_round_start","On Round Start: ",IF(C118="after_attack","After Attack: ",IF(C118="on_attack","On Attack: ",IF(C118="on_faint","On Faint: ",IF(C118="before_attack","Before Attack: ",IF(C118="before_hit","Before Hit: ",IF(C118="on_ally_faint","On Ally Faint: ",IF(C118="on_kill","On Kill: ",IF(C118="on_debuff","On Debuff: ",IF(C118="on_heal","On Heal: ","")))))))))))))&amp;"A random ally increases its Speed by "&amp;TEXT((G118-1)*100,"0")&amp;"%."</f>
        <v>On Faint: A random ally increases its Speed by 20%.</v>
      </c>
      <c r="O118" s="9" t="s">
        <v>90</v>
      </c>
    </row>
    <row r="119" spans="1:16" x14ac:dyDescent="0.25">
      <c r="A119" s="1">
        <v>118</v>
      </c>
      <c r="B119" s="1" t="s">
        <v>161</v>
      </c>
      <c r="C119" s="1" t="s">
        <v>15</v>
      </c>
      <c r="D119" s="1" t="s">
        <v>201</v>
      </c>
      <c r="E119" s="1"/>
      <c r="F119" s="1" t="s">
        <v>247</v>
      </c>
      <c r="G119" s="1">
        <v>1.2</v>
      </c>
      <c r="H119" s="1"/>
      <c r="I119" s="1"/>
      <c r="J119" s="1"/>
      <c r="K119" s="1" t="s">
        <v>262</v>
      </c>
      <c r="L119" s="1"/>
      <c r="M119" s="1"/>
      <c r="N119" s="1" t="str">
        <f>IF(C119="passive","",IF(C119="on_battle_start","On Battle Start: ",IF(C119="on_hit","On Hit: ",IF(C119="on_round_start","On Round Start: ",IF(C119="after_attack","After Attack: ",IF(C119="on_attack","On Attack: ",IF(C119="on_faint","On Faint: ",IF(C119="before_attack","Before Attack: ",IF(C119="before_hit","Before Hit: ",IF(C119="on_ally_faint","On Ally Faint: ",IF(C119="on_kill","On Kill: ",IF(C119="on_debuff","On Debuff: ",IF(C119="on_heal","On Heal: ","")))))))))))))&amp;"A random ally increases its HP by "&amp;TEXT((G119-1)*100,"0")&amp;"%."</f>
        <v>On Faint: A random ally increases its HP by 20%.</v>
      </c>
      <c r="O119" s="9" t="s">
        <v>90</v>
      </c>
    </row>
    <row r="120" spans="1:16" x14ac:dyDescent="0.25">
      <c r="A120" s="2">
        <v>119</v>
      </c>
      <c r="B120" s="2" t="s">
        <v>186</v>
      </c>
      <c r="C120" s="2" t="s">
        <v>9</v>
      </c>
      <c r="D120" s="2" t="s">
        <v>114</v>
      </c>
      <c r="E120" s="2"/>
      <c r="F120" s="2" t="s">
        <v>150</v>
      </c>
      <c r="G120" s="2">
        <v>0.2</v>
      </c>
      <c r="H120" s="2" t="s">
        <v>264</v>
      </c>
      <c r="I120" s="2"/>
      <c r="J120" s="2"/>
      <c r="K120" s="2" t="s">
        <v>261</v>
      </c>
      <c r="L120" s="2">
        <v>2</v>
      </c>
      <c r="M120" s="2" t="s">
        <v>150</v>
      </c>
      <c r="N120" s="2" t="str">
        <f>IF(C120="passive","",IF(C120="on_battle_start","On Battle Start: ",IF(C120="on_hit","On Hit: ",IF(C120="on_round_start","On Round Start: ",IF(C120="after_attack","After Attack: ",IF(C120="on_attack","On Attack: ",IF(C120="on_faint","On Faint: ",IF(C120="before_attack","Before Attack: ",IF(C120="before_hit","Before Hit: ",IF(C120="on_ally_faint","On Ally Faint: ",IF(C120="on_kill","On Kill: ",IF(C120="on_debuff","On Debuff: ",IF(C120="on_heal","On Heal: ","")))))))))))))&amp;"Heals self for "&amp;TEXT(G120*100,"0")&amp;"% of max HP."</f>
        <v>On Round Start: Heals self for 20% of max HP.</v>
      </c>
      <c r="O120" s="9" t="s">
        <v>90</v>
      </c>
    </row>
    <row r="121" spans="1:16" x14ac:dyDescent="0.25">
      <c r="A121" s="1">
        <v>120</v>
      </c>
      <c r="B121" s="1" t="s">
        <v>187</v>
      </c>
      <c r="C121" s="1" t="s">
        <v>18</v>
      </c>
      <c r="D121" s="1" t="s">
        <v>114</v>
      </c>
      <c r="E121" s="1"/>
      <c r="F121" s="1" t="s">
        <v>19</v>
      </c>
      <c r="G121" s="1">
        <v>0.3</v>
      </c>
      <c r="H121" s="1" t="s">
        <v>188</v>
      </c>
      <c r="I121" s="1"/>
      <c r="J121" s="1"/>
      <c r="K121" s="1"/>
      <c r="L121" s="1"/>
      <c r="M121" s="1"/>
      <c r="N121" s="1" t="str">
        <f>"Reduces all incoming damage by 30% while at full HP."</f>
        <v>Reduces all incoming damage by 30% while at full HP.</v>
      </c>
      <c r="O121" s="9" t="s">
        <v>90</v>
      </c>
    </row>
    <row r="122" spans="1:16" x14ac:dyDescent="0.25">
      <c r="A122" s="2">
        <v>121</v>
      </c>
      <c r="B122" s="13" t="s">
        <v>189</v>
      </c>
      <c r="C122" s="13" t="s">
        <v>14</v>
      </c>
      <c r="D122" s="13" t="s">
        <v>114</v>
      </c>
      <c r="E122" s="13"/>
      <c r="F122" s="13" t="s">
        <v>190</v>
      </c>
      <c r="G122" s="13">
        <v>0.1</v>
      </c>
      <c r="H122" s="13"/>
      <c r="I122" s="13"/>
      <c r="J122" s="13"/>
      <c r="K122" s="2"/>
      <c r="L122" s="2"/>
      <c r="M122" s="2"/>
      <c r="N122" s="13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","")))))))))))))&amp;"Gains "&amp;TEXT(G122*100,"0")&amp;"% damage reduction per hit received (max 50%)."</f>
        <v>On Hit: Gains 10% damage reduction per hit received (max 50%).</v>
      </c>
      <c r="O122" s="9" t="s">
        <v>90</v>
      </c>
    </row>
    <row r="123" spans="1:16" x14ac:dyDescent="0.25">
      <c r="A123" s="1">
        <v>122</v>
      </c>
      <c r="B123" s="1" t="s">
        <v>239</v>
      </c>
      <c r="C123" s="1" t="s">
        <v>13</v>
      </c>
      <c r="D123" s="1" t="s">
        <v>114</v>
      </c>
      <c r="E123" s="1"/>
      <c r="F123" s="1" t="s">
        <v>27</v>
      </c>
      <c r="G123" s="1"/>
      <c r="H123" s="1" t="s">
        <v>28</v>
      </c>
      <c r="I123" s="1"/>
      <c r="J123" s="1"/>
      <c r="K123" s="1"/>
      <c r="L123" s="1"/>
      <c r="M123" s="1"/>
      <c r="N123" s="1" t="str">
        <f>IF(C123="passive","",IF(C123="on_battle_start","On Battle Start: ",IF(C123="on_hit","On Hit: ",IF(C123="on_round_start","On Round Start: ",IF(C123="after_attack","After Attack: ",IF(C123="on_attack","On Attack: ",IF(C123="on_faint","On Faint: ",IF(C123="before_attack","Before Attack: ",IF(C123="before_hit","Before Hit: ",IF(C123="on_ally_faint","On Ally Faint: ",IF(C123="on_kill","On Kill: ",IF(C123="on_debuff","On Debuff: ",IF(C123="on_heal","On Heal: ","")))))))))))))&amp;"Completely negates the very first hit received."</f>
        <v>Before Hit: Completely negates the very first hit received.</v>
      </c>
      <c r="O123" s="9" t="s">
        <v>90</v>
      </c>
      <c r="P123" s="1"/>
    </row>
    <row r="124" spans="1:16" x14ac:dyDescent="0.25">
      <c r="A124" s="2">
        <v>123</v>
      </c>
      <c r="B124" s="2" t="s">
        <v>191</v>
      </c>
      <c r="C124" s="2" t="s">
        <v>14</v>
      </c>
      <c r="D124" s="2" t="s">
        <v>114</v>
      </c>
      <c r="E124" s="2"/>
      <c r="F124" s="2" t="s">
        <v>21</v>
      </c>
      <c r="G124" s="2">
        <v>1.2</v>
      </c>
      <c r="H124" s="2"/>
      <c r="I124" s="2"/>
      <c r="J124" s="2"/>
      <c r="K124" s="2" t="s">
        <v>262</v>
      </c>
      <c r="L124" s="2">
        <v>5</v>
      </c>
      <c r="M124" s="2" t="s">
        <v>267</v>
      </c>
      <c r="N124" s="2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","")))))))))))))&amp;"Incresases speed by 20%."</f>
        <v>On Hit: Incresases speed by 20%.</v>
      </c>
      <c r="O124" s="7" t="s">
        <v>87</v>
      </c>
    </row>
    <row r="125" spans="1:16" x14ac:dyDescent="0.25">
      <c r="A125" s="1">
        <v>124</v>
      </c>
      <c r="B125" s="1" t="s">
        <v>192</v>
      </c>
      <c r="C125" s="1" t="s">
        <v>193</v>
      </c>
      <c r="D125" s="1" t="s">
        <v>114</v>
      </c>
      <c r="E125" s="1"/>
      <c r="F125" s="1" t="s">
        <v>21</v>
      </c>
      <c r="G125" s="1">
        <v>1.8</v>
      </c>
      <c r="H125" s="1"/>
      <c r="I125" s="1"/>
      <c r="J125" s="1"/>
      <c r="K125" s="1" t="s">
        <v>262</v>
      </c>
      <c r="L125" s="1">
        <v>5</v>
      </c>
      <c r="M125" s="1" t="s">
        <v>267</v>
      </c>
      <c r="N125" s="1" t="str">
        <f>IF(C125="passive","",IF(C125="on_battle_start","On Battle Start: ",IF(C125="on_hit","On Hit: ",IF(C125="on_round_start","On Round Start: ",IF(C125="after_attack","After Attack: ",IF(C125="on_attack","On Attack: ",IF(C125="on_faint","On Faint: ",IF(C125="before_attack","Before Attack: ",IF(C125="before_hit","Before Hit: ",IF(C125="on_ally_faint","On Ally Faint: ",IF(C125="on_kill","On Kill: ",IF(C125="on_debuff","On Debuff: ",IF(C125="on_heal","On Heal: ","")))))))))))))&amp;"Boosts Speed by "&amp;TEXT((G125-1)*100,"0")&amp;"% whenever any stat is lowered."</f>
        <v>On Debuff: Boosts Speed by 80% whenever any stat is lowered.</v>
      </c>
      <c r="O125" s="7" t="s">
        <v>87</v>
      </c>
    </row>
    <row r="126" spans="1:16" x14ac:dyDescent="0.25">
      <c r="A126" s="2">
        <v>125</v>
      </c>
      <c r="B126" s="2" t="s">
        <v>194</v>
      </c>
      <c r="C126" s="2" t="s">
        <v>193</v>
      </c>
      <c r="D126" s="2" t="s">
        <v>114</v>
      </c>
      <c r="E126" s="2"/>
      <c r="F126" s="2" t="s">
        <v>20</v>
      </c>
      <c r="G126" s="2">
        <v>1.5</v>
      </c>
      <c r="H126" s="2"/>
      <c r="I126" s="2"/>
      <c r="J126" s="2"/>
      <c r="K126" s="2" t="s">
        <v>262</v>
      </c>
      <c r="L126" s="2"/>
      <c r="M126" s="2"/>
      <c r="N126" s="2" t="str">
        <f>IF(C126="passive","",IF(C126="on_battle_start","On Battle Start: ",IF(C126="on_hit","On Hit: ",IF(C126="on_round_start","On Round Start: ",IF(C126="after_attack","After Attack: ",IF(C126="on_attack","On Attack: ",IF(C126="on_faint","On Faint: ",IF(C126="before_attack","Before Attack: ",IF(C126="before_hit","Before Hit: ",IF(C126="on_ally_faint","On Ally Faint: ",IF(C126="on_kill","On Kill: ",IF(C126="on_debuff","On Debuff: ",IF(C126="on_heal","On Heal: ","")))))))))))))&amp;"Boosts Attack by "&amp;TEXT((G126-1)*100,"0")&amp;"% whenever any stat is lowered."</f>
        <v>On Debuff: Boosts Attack by 50% whenever any stat is lowered.</v>
      </c>
      <c r="O126" s="9" t="s">
        <v>90</v>
      </c>
    </row>
    <row r="127" spans="1:16" x14ac:dyDescent="0.25">
      <c r="A127" s="1">
        <v>126</v>
      </c>
      <c r="B127" s="13" t="s">
        <v>195</v>
      </c>
      <c r="C127" s="13" t="s">
        <v>15</v>
      </c>
      <c r="D127" s="13" t="s">
        <v>196</v>
      </c>
      <c r="E127" s="13"/>
      <c r="F127" s="13" t="s">
        <v>197</v>
      </c>
      <c r="G127" s="13"/>
      <c r="H127" s="13"/>
      <c r="I127" s="13"/>
      <c r="J127" s="13"/>
      <c r="K127" s="1"/>
      <c r="L127" s="1"/>
      <c r="M127" s="1"/>
      <c r="N127" s="13" t="str">
        <f>IF(C127="passive","",IF(C127="on_battle_start","On Battle Start: ",IF(C127="on_hit","On Hit: ",IF(C127="on_round_start","On Round Start: ",IF(C127="after_attack","After Attack: ",IF(C127="on_attack","On Attack: ",IF(C127="on_faint","On Faint: ",IF(C127="before_attack","Before Attack: ",IF(C127="before_hit","Before Hit: ",IF(C127="on_ally_faint","On Ally Faint: ",IF(C127="on_kill","On Kill: ",IF(C127="on_debuff","On Debuff: ",IF(C127="on_heal","On Heal: ","")))))))))))))&amp;"Transfers all active stat buffs to the next ally in line."</f>
        <v>On Faint: Transfers all active stat buffs to the next ally in line.</v>
      </c>
      <c r="O127" s="9" t="s">
        <v>90</v>
      </c>
    </row>
    <row r="128" spans="1:16" x14ac:dyDescent="0.25">
      <c r="A128" s="2">
        <v>127</v>
      </c>
      <c r="B128" s="2" t="s">
        <v>198</v>
      </c>
      <c r="C128" s="2" t="s">
        <v>15</v>
      </c>
      <c r="D128" s="2" t="s">
        <v>114</v>
      </c>
      <c r="E128" s="2"/>
      <c r="F128" s="2" t="s">
        <v>199</v>
      </c>
      <c r="G128" s="2"/>
      <c r="H128" s="2"/>
      <c r="I128" s="2"/>
      <c r="J128" s="2"/>
      <c r="K128" s="2"/>
      <c r="L128" s="2"/>
      <c r="M128" s="2"/>
      <c r="N128" s="2" t="str">
        <f>IF(C128="passive","",IF(C128="on_battle_start","On Battle Start: ",IF(C128="on_hit","On Hit: ",IF(C128="on_round_start","On Round Start: ",IF(C128="after_attack","After Attack: ",IF(C128="on_attack","On Attack: ",IF(C128="on_faint","On Faint: ",IF(C128="before_attack","Before Attack: ",IF(C128="before_hit","Before Hit: ",IF(C128="on_ally_faint","On Ally Faint: ",IF(C128="on_kill","On Kill: ",IF(C128="on_debuff","On Debuff: ",IF(C128="on_heal","On Heal: ","")))))))))))))&amp;"Removes all debuffs and status effects."</f>
        <v>On Faint: Removes all debuffs and status effects.</v>
      </c>
      <c r="O128" s="9" t="s">
        <v>90</v>
      </c>
    </row>
    <row r="129" spans="1:16" x14ac:dyDescent="0.25">
      <c r="A129" s="1">
        <v>128</v>
      </c>
      <c r="B129" s="1" t="s">
        <v>205</v>
      </c>
      <c r="C129" s="1" t="s">
        <v>9</v>
      </c>
      <c r="D129" s="1" t="s">
        <v>201</v>
      </c>
      <c r="E129" s="1"/>
      <c r="F129" s="1" t="s">
        <v>150</v>
      </c>
      <c r="G129" s="1">
        <v>0.15</v>
      </c>
      <c r="H129" s="1"/>
      <c r="I129" s="1"/>
      <c r="J129" s="1"/>
      <c r="K129" s="1"/>
      <c r="L129" s="1"/>
      <c r="M129" s="1"/>
      <c r="N129" s="1" t="str">
        <f>IF(C129="passive","",IF(C129="on_battle_start","On Battle Start: ",IF(C129="on_hit","On Hit: ",IF(C129="on_round_start","On Round Start: ",IF(C129="after_attack","After Attack: ",IF(C129="on_attack","On Attack: ",IF(C129="on_faint","On Faint: ",IF(C129="before_attack","Before Attack: ",IF(C129="before_hit","Before Hit: ",IF(C129="on_ally_faint","On Ally Faint: ",IF(C129="on_kill","On Kill: ",IF(C129="on_debuff","On Debuff: ",IF(C129="on_heal","On Heal: ","")))))))))))))&amp;"Heals one random ally for "&amp;TEXT(G129*100,"0")&amp;"% of their max HP."</f>
        <v>On Round Start: Heals one random ally for 15% of their max HP.</v>
      </c>
      <c r="O129" s="9" t="s">
        <v>90</v>
      </c>
      <c r="P129" s="1"/>
    </row>
    <row r="130" spans="1:16" x14ac:dyDescent="0.25">
      <c r="A130" s="2">
        <v>129</v>
      </c>
      <c r="B130" s="2" t="s">
        <v>202</v>
      </c>
      <c r="C130" s="2" t="s">
        <v>9</v>
      </c>
      <c r="D130" s="2" t="s">
        <v>132</v>
      </c>
      <c r="E130" s="2"/>
      <c r="F130" s="2" t="s">
        <v>150</v>
      </c>
      <c r="G130" s="2">
        <v>0.1</v>
      </c>
      <c r="H130" s="2" t="s">
        <v>47</v>
      </c>
      <c r="I130" s="2"/>
      <c r="J130" s="2"/>
      <c r="K130" s="2"/>
      <c r="L130" s="2"/>
      <c r="M130" s="2"/>
      <c r="N130" s="2" t="str">
        <f>IF(C130="passive","",IF(C130="on_battle_start","On Battle Start: ",IF(C130="on_hit","On Hit: ",IF(C130="on_round_start","On Round Start: ",IF(C130="after_attack","After Attack: ",IF(C130="on_attack","On Attack: ",IF(C130="on_faint","On Faint: ",IF(C130="before_attack","Before Attack: ",IF(C130="before_hit","Before Hit: ",IF(C130="on_ally_faint","On Ally Faint: ",IF(C130="on_kill","On Kill: ",IF(C130="on_debuff","On Debuff: ",IF(C130="on_heal","On Heal: ","")))))))))))))&amp;"Heals all allies by  "&amp;TEXT(G130*100,"0")&amp;"% of their max HP during sunlight."</f>
        <v>On Round Start: Heals all allies by  10% of their max HP during sunlight.</v>
      </c>
      <c r="O130" s="9" t="s">
        <v>90</v>
      </c>
    </row>
    <row r="131" spans="1:16" x14ac:dyDescent="0.25">
      <c r="A131" s="1">
        <v>130</v>
      </c>
      <c r="B131" s="1" t="s">
        <v>203</v>
      </c>
      <c r="C131" s="1" t="s">
        <v>8</v>
      </c>
      <c r="D131" s="1" t="s">
        <v>132</v>
      </c>
      <c r="E131" s="1"/>
      <c r="F131" s="1" t="s">
        <v>73</v>
      </c>
      <c r="G131" s="1">
        <v>1.33</v>
      </c>
      <c r="H131" s="1"/>
      <c r="I131" s="1"/>
      <c r="J131" s="1"/>
      <c r="K131" s="1" t="s">
        <v>262</v>
      </c>
      <c r="L131" s="1"/>
      <c r="M131" s="1"/>
      <c r="N131" s="1" t="str">
        <f>IF(C131="passive","",IF(C131="on_battle_start","On Battle Start: ",IF(C131="on_hit","On Hit: ",IF(C131="on_round_start","On Round Start: ",IF(C131="after_attack","After Attack: ",IF(C131="on_attack","On Attack: ",IF(C131="on_faint","On Faint: ",IF(C131="before_attack","Before Attack: ",IF(C131="before_hit","Before Hit: ",IF(C131="on_ally_faint","On Ally Faint: ",IF(C131="on_kill","On Kill: ",IF(C131="on_debuff","On Debuff: ",IF(C131="on_heal","On Heal: ","")))))))))))))&amp;"Increases all healing on your team by "&amp;TEXT((G131-1)*100,"0")&amp;"%."</f>
        <v>On Battle Start: Increases all healing on your team by 33%.</v>
      </c>
      <c r="O131" s="9" t="s">
        <v>90</v>
      </c>
    </row>
    <row r="132" spans="1:16" x14ac:dyDescent="0.25">
      <c r="A132" s="2">
        <v>131</v>
      </c>
      <c r="B132" s="2" t="s">
        <v>200</v>
      </c>
      <c r="C132" s="2" t="s">
        <v>18</v>
      </c>
      <c r="D132" s="2" t="s">
        <v>114</v>
      </c>
      <c r="E132" s="2"/>
      <c r="F132" s="2" t="s">
        <v>73</v>
      </c>
      <c r="G132" s="2">
        <v>1.5</v>
      </c>
      <c r="H132" s="2"/>
      <c r="I132" s="2"/>
      <c r="J132" s="2"/>
      <c r="K132" s="2" t="s">
        <v>262</v>
      </c>
      <c r="L132" s="2"/>
      <c r="M132" s="2"/>
      <c r="N132" s="2" t="str">
        <f>"All healing effects on this Pokémon are boosted by "&amp;TEXT((G132-1)*100,"0")&amp;"%."</f>
        <v>All healing effects on this Pokémon are boosted by 50%.</v>
      </c>
      <c r="O132" s="9" t="s">
        <v>90</v>
      </c>
    </row>
    <row r="133" spans="1:16" x14ac:dyDescent="0.25">
      <c r="A133" s="1">
        <v>132</v>
      </c>
      <c r="B133" s="1" t="s">
        <v>206</v>
      </c>
      <c r="C133" s="1" t="s">
        <v>14</v>
      </c>
      <c r="D133" s="1" t="s">
        <v>114</v>
      </c>
      <c r="E133" s="1"/>
      <c r="F133" s="1" t="s">
        <v>20</v>
      </c>
      <c r="G133" s="1">
        <v>1.5</v>
      </c>
      <c r="H133" s="1" t="s">
        <v>77</v>
      </c>
      <c r="I133" s="1"/>
      <c r="J133" s="1"/>
      <c r="K133" s="1" t="s">
        <v>262</v>
      </c>
      <c r="L133" s="1"/>
      <c r="M133" s="1"/>
      <c r="N133" s="1" t="str">
        <f>IF(C133="passive","",IF(C133="on_battle_start","On Battle Start: ",IF(C133="on_hit","On Hit: ",IF(C133="on_round_start","On Round Start: ",IF(C133="after_attack","After Attack: ",IF(C133="on_attack","On Attack: ",IF(C133="on_faint","On Faint: ",IF(C133="before_attack","Before Attack: ",IF(C133="before_hit","Before Hit: ",IF(C133="on_ally_faint","On Ally Faint: ",IF(C133="on_kill","On Kill: ",IF(C133="on_debuff","On Debuff: ",IF(C133="on_heal","On Heal: ","")))))))))))))&amp;"Boosts Attack by "&amp;TEXT((G133-1)*100,"0")&amp;"% when falling below 50% HP."</f>
        <v>On Hit: Boosts Attack by 50% when falling below 50% HP.</v>
      </c>
      <c r="O133" s="9" t="s">
        <v>90</v>
      </c>
    </row>
    <row r="134" spans="1:16" x14ac:dyDescent="0.25">
      <c r="A134" s="2">
        <v>133</v>
      </c>
      <c r="B134" s="2" t="s">
        <v>207</v>
      </c>
      <c r="C134" s="2" t="s">
        <v>14</v>
      </c>
      <c r="D134" s="2" t="s">
        <v>132</v>
      </c>
      <c r="E134" s="2"/>
      <c r="F134" s="2" t="s">
        <v>20</v>
      </c>
      <c r="G134" s="2">
        <v>1.3</v>
      </c>
      <c r="H134" s="2" t="s">
        <v>240</v>
      </c>
      <c r="I134" s="2"/>
      <c r="J134" s="2"/>
      <c r="K134" s="2" t="s">
        <v>262</v>
      </c>
      <c r="L134" s="2">
        <v>0</v>
      </c>
      <c r="M134" s="2" t="s">
        <v>267</v>
      </c>
      <c r="N134" s="2" t="str">
        <f>IF(C134="passive","",IF(C134="on_battle_start","On Battle Start: ",IF(C134="on_hit","On Hit: ",IF(C134="on_round_start","On Round Start: ",IF(C134="after_attack","After Attack: ",IF(C134="on_attack","On Attack: ",IF(C134="on_faint","On Faint: ",IF(C134="before_attack","Before Attack: ",IF(C134="before_hit","Before Hit: ",IF(C134="on_ally_faint","On Ally Faint: ",IF(C134="on_kill","On Kill: ",IF(C134="on_debuff","On Debuff: ",IF(C134="on_heal","On Heal: ","")))))))))))))&amp;"When dropping below 25% HP, boosts all allies' Attack by "&amp;TEXT((G134-1)*100,"0")&amp;"%."</f>
        <v>On Hit: When dropping below 25% HP, boosts all allies' Attack by 30%.</v>
      </c>
      <c r="O134" s="9" t="s">
        <v>90</v>
      </c>
    </row>
    <row r="135" spans="1:16" x14ac:dyDescent="0.25">
      <c r="A135" s="1">
        <v>134</v>
      </c>
      <c r="B135" s="1" t="s">
        <v>208</v>
      </c>
      <c r="C135" s="1" t="s">
        <v>18</v>
      </c>
      <c r="D135" s="1" t="s">
        <v>137</v>
      </c>
      <c r="E135" s="1"/>
      <c r="F135" s="1" t="s">
        <v>209</v>
      </c>
      <c r="G135" s="1">
        <v>0.5</v>
      </c>
      <c r="H135" s="1"/>
      <c r="I135" s="1"/>
      <c r="J135" s="1"/>
      <c r="K135" s="1"/>
      <c r="L135" s="1"/>
      <c r="M135" s="1"/>
      <c r="N135" s="1" t="str">
        <f>"Reduces all healing received by enemies by "&amp;TEXT((1-G135)*100,"0")&amp;"%."</f>
        <v>Reduces all healing received by enemies by 50%.</v>
      </c>
      <c r="O135" s="9" t="s">
        <v>90</v>
      </c>
    </row>
    <row r="136" spans="1:16" x14ac:dyDescent="0.25">
      <c r="A136" s="2">
        <v>135</v>
      </c>
      <c r="B136" s="2" t="s">
        <v>210</v>
      </c>
      <c r="C136" s="2" t="s">
        <v>18</v>
      </c>
      <c r="D136" s="2" t="s">
        <v>132</v>
      </c>
      <c r="E136" s="2"/>
      <c r="F136" s="2" t="s">
        <v>211</v>
      </c>
      <c r="G136" s="2">
        <v>1.3</v>
      </c>
      <c r="H136" s="2"/>
      <c r="I136" s="2"/>
      <c r="J136" s="2"/>
      <c r="K136" s="2"/>
      <c r="L136" s="2"/>
      <c r="M136" s="2"/>
      <c r="N136" s="2" t="str">
        <f>"Boosts all allies' ability-based damage by "&amp;TEXT((G136-1)*100,"0")&amp;"%."</f>
        <v>Boosts all allies' ability-based damage by 30%.</v>
      </c>
      <c r="O136" s="8" t="s">
        <v>88</v>
      </c>
    </row>
    <row r="137" spans="1:16" x14ac:dyDescent="0.25">
      <c r="A137" s="1">
        <v>136</v>
      </c>
      <c r="B137" s="1" t="s">
        <v>212</v>
      </c>
      <c r="C137" s="1" t="s">
        <v>8</v>
      </c>
      <c r="D137" s="1" t="s">
        <v>114</v>
      </c>
      <c r="E137" s="1"/>
      <c r="F137" s="1" t="s">
        <v>20</v>
      </c>
      <c r="G137" s="1">
        <v>2</v>
      </c>
      <c r="H137" s="1" t="s">
        <v>407</v>
      </c>
      <c r="I137" s="1"/>
      <c r="J137" s="1"/>
      <c r="K137" s="1" t="s">
        <v>262</v>
      </c>
      <c r="L137" s="1">
        <v>4</v>
      </c>
      <c r="M137" s="1" t="s">
        <v>267</v>
      </c>
      <c r="N137" s="1" t="str">
        <f>IF(C137="passive","",IF(C137="on_battle_start","On Battle Start: ",IF(C137="on_hit","On Hit: ",IF(C137="on_round_start","On Round Start: ",IF(C137="after_attack","After Attack: ",IF(C137="on_attack","On Attack: ",IF(C137="on_faint","On Faint: ",IF(C137="before_attack","Before Attack: ",IF(C137="before_hit","Before Hit: ",IF(C137="on_ally_faint","On Ally Faint: ",IF(C137="on_kill","On Kill: ",IF(C137="on_debuff","On Debuff: ",IF(C137="on_heal","On Heal: ","")))))))))))))&amp;IF(G137=2,"Doubles own Attack if a Minus ally is in the team.","Boosts own Attack by "&amp;TEXT((G137-1)*100,"0")&amp;"% if a Minus ally is in the team.")</f>
        <v>On Battle Start: Doubles own Attack if a Minus ally is in the team.</v>
      </c>
      <c r="O137" s="8" t="s">
        <v>88</v>
      </c>
    </row>
    <row r="138" spans="1:16" x14ac:dyDescent="0.25">
      <c r="A138" s="2">
        <v>137</v>
      </c>
      <c r="B138" s="2" t="s">
        <v>213</v>
      </c>
      <c r="C138" s="2" t="s">
        <v>8</v>
      </c>
      <c r="D138" s="2" t="s">
        <v>114</v>
      </c>
      <c r="E138" s="2"/>
      <c r="F138" s="2" t="s">
        <v>21</v>
      </c>
      <c r="G138" s="2">
        <v>2</v>
      </c>
      <c r="H138" s="2" t="s">
        <v>408</v>
      </c>
      <c r="I138" s="2"/>
      <c r="J138" s="2"/>
      <c r="K138" s="2" t="s">
        <v>262</v>
      </c>
      <c r="L138" s="2">
        <v>4</v>
      </c>
      <c r="M138" s="2" t="s">
        <v>267</v>
      </c>
      <c r="N138" s="2" t="str">
        <f>IF(C138="passive","",IF(C138="on_battle_start","On Battle Start: ",IF(C138="on_hit","On Hit: ",IF(C138="on_round_start","On Round Start: ",IF(C138="after_attack","After Attack: ",IF(C138="on_attack","On Attack: ",IF(C138="on_faint","On Faint: ",IF(C138="before_attack","Before Attack: ",IF(C138="before_hit","Before Hit: ",IF(C138="on_ally_faint","On Ally Faint: ",IF(C138="on_kill","On Kill: ",IF(C138="on_debuff","On Debuff: ",IF(C138="on_heal","On Heal: ","")))))))))))))&amp;IF(G138=2,"Doubles own Speed if a Plus ally is in the team.","Boosts own Speed by "&amp;TEXT((G138-1)*100,"0")&amp;"% if a Plus ally is in the team.")</f>
        <v>On Battle Start: Doubles own Speed if a Plus ally is in the team.</v>
      </c>
      <c r="O138" s="8" t="s">
        <v>88</v>
      </c>
    </row>
    <row r="139" spans="1:16" x14ac:dyDescent="0.25">
      <c r="A139" s="1">
        <v>138</v>
      </c>
      <c r="B139" s="1" t="s">
        <v>214</v>
      </c>
      <c r="C139" s="1" t="s">
        <v>18</v>
      </c>
      <c r="D139" s="1" t="s">
        <v>132</v>
      </c>
      <c r="E139" s="1"/>
      <c r="F139" s="1" t="s">
        <v>121</v>
      </c>
      <c r="G139" s="1"/>
      <c r="H139" s="1"/>
      <c r="I139" s="1"/>
      <c r="J139" s="1"/>
      <c r="K139" s="1"/>
      <c r="L139" s="1"/>
      <c r="M139" s="1"/>
      <c r="N139" s="1" t="s">
        <v>233</v>
      </c>
      <c r="O139" s="9" t="s">
        <v>90</v>
      </c>
    </row>
    <row r="140" spans="1:16" x14ac:dyDescent="0.25">
      <c r="A140" s="2">
        <v>139</v>
      </c>
      <c r="B140" s="2" t="s">
        <v>215</v>
      </c>
      <c r="C140" s="2" t="s">
        <v>18</v>
      </c>
      <c r="D140" s="2" t="s">
        <v>132</v>
      </c>
      <c r="E140" s="2"/>
      <c r="F140" s="2" t="s">
        <v>121</v>
      </c>
      <c r="G140" s="2"/>
      <c r="H140" s="2"/>
      <c r="I140" s="2"/>
      <c r="J140" s="2"/>
      <c r="K140" s="2"/>
      <c r="L140" s="2"/>
      <c r="M140" s="2"/>
      <c r="N140" s="2" t="s">
        <v>234</v>
      </c>
      <c r="O140" s="9" t="s">
        <v>90</v>
      </c>
    </row>
    <row r="141" spans="1:16" x14ac:dyDescent="0.25">
      <c r="A141" s="1">
        <v>140</v>
      </c>
      <c r="B141" s="1" t="s">
        <v>252</v>
      </c>
      <c r="C141" s="1" t="s">
        <v>8</v>
      </c>
      <c r="D141" s="1" t="s">
        <v>201</v>
      </c>
      <c r="E141" s="1"/>
      <c r="F141" s="1" t="s">
        <v>21</v>
      </c>
      <c r="G141" s="1">
        <v>1.3</v>
      </c>
      <c r="H141" s="1"/>
      <c r="I141" s="1"/>
      <c r="J141" s="1"/>
      <c r="K141" s="1" t="s">
        <v>262</v>
      </c>
      <c r="L141" s="1">
        <v>4</v>
      </c>
      <c r="M141" s="1" t="s">
        <v>267</v>
      </c>
      <c r="N141" s="1" t="str">
        <f>IF(C141="passive","",IF(C141="on_battle_start","On Battle Start: ",IF(C141="on_hit","On Hit: ",IF(C141="on_round_start","On Round Start: ",IF(C141="after_attack","After Attack: ",IF(C141="on_attack","On Attack: ",IF(C141="on_faint","On Faint: ",IF(C141="before_attack","Before Attack: ",IF(C141="before_hit","Before Hit: ",IF(C141="on_ally_faint","On Ally Faint: ",IF(C141="on_kill","On Kill: ",IF(C141="on_debuff","On Debuff: ",IF(C141="on_heal","On Heal: ","")))))))))))))&amp;"A random ally increases its Speed by "&amp;TEXT((G141-1)*100,"0")&amp;"%."</f>
        <v>On Battle Start: A random ally increases its Speed by 30%.</v>
      </c>
      <c r="O141" s="8" t="s">
        <v>88</v>
      </c>
      <c r="P141" s="1"/>
    </row>
    <row r="142" spans="1:16" x14ac:dyDescent="0.25">
      <c r="A142" s="2">
        <v>141</v>
      </c>
      <c r="B142" s="13" t="s">
        <v>216</v>
      </c>
      <c r="C142" s="13" t="s">
        <v>11</v>
      </c>
      <c r="D142" s="13" t="s">
        <v>132</v>
      </c>
      <c r="E142" s="13"/>
      <c r="F142" s="13" t="s">
        <v>166</v>
      </c>
      <c r="G142" s="13"/>
      <c r="H142" s="13"/>
      <c r="I142" s="13"/>
      <c r="J142" s="13"/>
      <c r="K142" s="2"/>
      <c r="L142" s="2"/>
      <c r="M142" s="2"/>
      <c r="N142" s="13" t="str">
        <f>IF(C142="passive","",IF(C142="on_battle_start","On Battle Start: ",IF(C142="on_hit","On Hit: ",IF(C142="on_round_start","On Round Start: ",IF(C142="after_attack","After Attack: ",IF(C142="on_attack","On Attack: ",IF(C142="on_faint","On Faint: ",IF(C142="before_attack","Before Attack: ",IF(C142="before_hit","Before Hit: ",IF(C142="on_ally_faint","On Ally Faint: ",IF(C142="on_kill","On Kill: ",IF(C142="on_debuff","On Debuff: ",IF(C142="on_heal","On Heal: ","")))))))))))))&amp;"Deals 20% damage to all allies but boosts their Attack by 30%."</f>
        <v>On Attack: Deals 20% damage to all allies but boosts their Attack by 30%.</v>
      </c>
      <c r="O142" s="9" t="s">
        <v>90</v>
      </c>
    </row>
    <row r="143" spans="1:16" x14ac:dyDescent="0.25">
      <c r="A143" s="1">
        <v>142</v>
      </c>
      <c r="B143" s="1" t="s">
        <v>217</v>
      </c>
      <c r="C143" s="1" t="s">
        <v>8</v>
      </c>
      <c r="D143" s="1" t="s">
        <v>137</v>
      </c>
      <c r="E143" s="1"/>
      <c r="F143" s="1" t="s">
        <v>166</v>
      </c>
      <c r="G143" s="1">
        <v>0.1</v>
      </c>
      <c r="H143" s="1"/>
      <c r="I143" s="1"/>
      <c r="J143" s="1"/>
      <c r="K143" s="1"/>
      <c r="L143" s="1"/>
      <c r="M143" s="1"/>
      <c r="N143" s="1" t="str">
        <f>IF(C143="passive","",IF(C143="on_battle_start","On Battle Start: ",IF(C143="on_hit","On Hit: ",IF(C143="on_round_start","On Round Start: ",IF(C143="after_attack","After Attack: ",IF(C143="on_attack","On Attack: ",IF(C143="on_faint","On Faint: ",IF(C143="before_attack","Before Attack: ",IF(C143="before_hit","Before Hit: ",IF(C143="on_ally_faint","On Ally Faint: ",IF(C143="on_kill","On Kill: ",IF(C143="on_debuff","On Debuff: ",IF(C143="on_heal","On Heal: ","")))))))))))))&amp;"All enemies lose "&amp;TEXT(G143*100,"0")&amp;"% of their max HP."</f>
        <v>On Battle Start: All enemies lose 10% of their max HP.</v>
      </c>
      <c r="O143" s="9" t="s">
        <v>90</v>
      </c>
    </row>
    <row r="144" spans="1:16" x14ac:dyDescent="0.25">
      <c r="A144" s="2">
        <v>143</v>
      </c>
      <c r="B144" s="2" t="s">
        <v>218</v>
      </c>
      <c r="C144" s="2" t="s">
        <v>11</v>
      </c>
      <c r="D144" s="2" t="s">
        <v>219</v>
      </c>
      <c r="E144" s="2"/>
      <c r="F144" s="2" t="s">
        <v>237</v>
      </c>
      <c r="G144" s="2">
        <v>20</v>
      </c>
      <c r="H144" s="2"/>
      <c r="I144" s="2"/>
      <c r="J144" s="2"/>
      <c r="K144" s="2"/>
      <c r="L144" s="2"/>
      <c r="M144" s="2"/>
      <c r="N144" s="2" t="str">
        <f>IF(C144="passive","",IF(C144="on_battle_start","On Battle Start: ",IF(C144="on_hit","On Hit: ",IF(C144="on_round_start","On Round Start: ",IF(C144="after_attack","After Attack: ",IF(C144="on_attack","On Attack: ",IF(C144="on_faint","On Faint: ",IF(C144="before_attack","Before Attack: ",IF(C144="before_hit","Before Hit: ",IF(C144="on_ally_faint","On Ally Faint: ",IF(C144="on_kill","On Kill: ",IF(C144="on_debuff","On Debuff: ",IF(C144="on_heal","On Heal: ","")))))))))))))&amp;"Deals "&amp;G144&amp;" damage to a random enemy."</f>
        <v>On Attack: Deals 20 damage to a random enemy.</v>
      </c>
      <c r="O144" s="9" t="s">
        <v>90</v>
      </c>
    </row>
    <row r="145" spans="1:16" x14ac:dyDescent="0.25">
      <c r="A145" s="1">
        <v>144</v>
      </c>
      <c r="B145" s="1" t="s">
        <v>220</v>
      </c>
      <c r="C145" s="1" t="s">
        <v>8</v>
      </c>
      <c r="D145" s="1" t="s">
        <v>219</v>
      </c>
      <c r="E145" s="1"/>
      <c r="F145" s="1" t="s">
        <v>237</v>
      </c>
      <c r="G145" s="1">
        <v>30</v>
      </c>
      <c r="H145" s="1"/>
      <c r="I145" s="1"/>
      <c r="J145" s="1"/>
      <c r="K145" s="1"/>
      <c r="L145" s="1"/>
      <c r="M145" s="1"/>
      <c r="N145" s="1" t="str">
        <f>IF(C145="passive","",IF(C145="on_battle_start","On Battle Start: ",IF(C145="on_hit","On Hit: ",IF(C145="on_round_start","On Round Start: ",IF(C145="after_attack","After Attack: ",IF(C145="on_attack","On Attack: ",IF(C145="on_faint","On Faint: ",IF(C145="before_attack","Before Attack: ",IF(C145="before_hit","Before Hit: ",IF(C145="on_ally_faint","On Ally Faint: ",IF(C145="on_kill","On Kill: ",IF(C145="on_debuff","On Debuff: ",IF(C145="on_heal","On Heal: ","")))))))))))))&amp;"Deals "&amp;G145&amp;" damage to an random enemy."</f>
        <v>On Battle Start: Deals 30 damage to an random enemy.</v>
      </c>
      <c r="O145" s="9" t="s">
        <v>90</v>
      </c>
      <c r="P145" s="1"/>
    </row>
    <row r="146" spans="1:16" x14ac:dyDescent="0.25">
      <c r="A146" s="2">
        <v>145</v>
      </c>
      <c r="B146" s="2" t="s">
        <v>221</v>
      </c>
      <c r="C146" s="2" t="s">
        <v>15</v>
      </c>
      <c r="D146" s="2" t="s">
        <v>122</v>
      </c>
      <c r="E146" s="2"/>
      <c r="F146" s="2" t="s">
        <v>412</v>
      </c>
      <c r="G146" s="2">
        <v>0.8</v>
      </c>
      <c r="H146" s="2"/>
      <c r="I146" s="2"/>
      <c r="J146" s="2"/>
      <c r="K146" s="2"/>
      <c r="L146" s="2"/>
      <c r="M146" s="2"/>
      <c r="N146" s="2" t="str">
        <f>IF(C146="passive","",IF(C146="on_battle_start","On Battle Start: ",IF(C146="on_hit","On Hit: ",IF(C146="on_round_start","On Round Start: ",IF(C146="after_attack","After Attack: ",IF(C146="on_attack","On Attack: ",IF(C146="on_faint","On Faint: ",IF(C146="before_attack","Before Attack: ",IF(C146="before_hit","Before Hit: ",IF(C146="on_ally_faint","On Ally Faint: ",IF(C146="on_kill","On Kill: ",IF(C146="on_debuff","On Debuff: ",IF(C146="on_heal","On Heal: ","")))))))))))))&amp;"Deals "&amp;TEXT(G146*100,"0")&amp;"% of this Pokémon's max HP as damage to the front enemy."</f>
        <v>On Faint: Deals 80% of this Pokémon's max HP as damage to the front enemy.</v>
      </c>
      <c r="O146" s="9" t="s">
        <v>90</v>
      </c>
    </row>
    <row r="147" spans="1:16" x14ac:dyDescent="0.25">
      <c r="A147" s="1">
        <v>146</v>
      </c>
      <c r="B147" s="1" t="s">
        <v>222</v>
      </c>
      <c r="C147" s="1" t="s">
        <v>15</v>
      </c>
      <c r="D147" s="1" t="s">
        <v>219</v>
      </c>
      <c r="E147" s="1"/>
      <c r="F147" s="1" t="s">
        <v>237</v>
      </c>
      <c r="G147" s="1">
        <v>40</v>
      </c>
      <c r="H147" s="1"/>
      <c r="I147" s="1"/>
      <c r="J147" s="1"/>
      <c r="K147" s="1" t="s">
        <v>272</v>
      </c>
      <c r="L147" s="1">
        <v>4</v>
      </c>
      <c r="M147" s="1" t="s">
        <v>271</v>
      </c>
      <c r="N147" s="1" t="str">
        <f>IF(C147="passive","",IF(C147="on_battle_start","On Battle Start: ",IF(C147="on_hit","On Hit: ",IF(C147="on_round_start","On Round Start: ",IF(C147="after_attack","After Attack: ",IF(C147="on_attack","On Attack: ",IF(C147="on_faint","On Faint: ",IF(C147="before_attack","Before Attack: ",IF(C147="before_hit","Before Hit: ",IF(C147="on_ally_faint","On Ally Faint: ",IF(C147="on_kill","On Kill: ",IF(C147="on_debuff","On Debuff: ",IF(C147="on_heal","On Heal: ","")))))))))))))&amp;"Deals "&amp;G147&amp;" damage to a random enemy."</f>
        <v>On Faint: Deals 40 damage to a random enemy.</v>
      </c>
      <c r="O147" s="9" t="s">
        <v>90</v>
      </c>
    </row>
    <row r="148" spans="1:16" x14ac:dyDescent="0.25">
      <c r="A148" s="2">
        <v>147</v>
      </c>
      <c r="B148" s="2" t="s">
        <v>223</v>
      </c>
      <c r="C148" s="2" t="s">
        <v>15</v>
      </c>
      <c r="D148" s="2" t="s">
        <v>137</v>
      </c>
      <c r="E148" s="2"/>
      <c r="F148" s="2" t="s">
        <v>175</v>
      </c>
      <c r="G148" s="2">
        <v>1.2</v>
      </c>
      <c r="H148" s="2"/>
      <c r="I148" s="2"/>
      <c r="J148" s="2"/>
      <c r="K148" s="2"/>
      <c r="L148" s="2"/>
      <c r="M148" s="2"/>
      <c r="N148" s="2" t="str">
        <f>IF(C148="passive","",IF(C148="on_battle_start","On Battle Start: ",IF(C148="on_hit","On Hit: ",IF(C148="on_round_start","On Round Start: ",IF(C148="after_attack","After Attack: ",IF(C148="on_attack","On Attack: ",IF(C148="on_faint","On Faint: ",IF(C148="before_attack","Before Attack: ",IF(C148="before_hit","Before Hit: ",IF(C148="on_ally_faint","On Ally Faint: ",IF(C148="on_kill","On Kill: ",IF(C148="on_debuff","On Debuff: ",IF(C148="on_heal","On Heal: ","")))))))))))))&amp;"All enemies take "&amp;TEXT((G148-1)*100,"0")&amp;"% increased damage for the rest of combat."</f>
        <v>On Faint: All enemies take 20% increased damage for the rest of combat.</v>
      </c>
      <c r="O148" s="9" t="s">
        <v>90</v>
      </c>
    </row>
    <row r="149" spans="1:16" x14ac:dyDescent="0.25">
      <c r="A149" s="1">
        <v>148</v>
      </c>
      <c r="B149" s="1" t="s">
        <v>224</v>
      </c>
      <c r="C149" s="1" t="s">
        <v>404</v>
      </c>
      <c r="D149" s="1" t="s">
        <v>137</v>
      </c>
      <c r="E149" s="1"/>
      <c r="F149" s="1" t="s">
        <v>237</v>
      </c>
      <c r="G149" s="1">
        <v>10</v>
      </c>
      <c r="H149" s="1"/>
      <c r="I149" s="1"/>
      <c r="J149" s="1"/>
      <c r="K149" s="1" t="s">
        <v>396</v>
      </c>
      <c r="L149" s="1">
        <v>5</v>
      </c>
      <c r="M149" s="1" t="s">
        <v>271</v>
      </c>
      <c r="N149" s="1" t="str">
        <f>IF(C149="passive","",IF(C149="on_battle_start","On Battle Start: ",IF(C149="on_hit","On Hit: ",IF(C149="on_round_start","On Round Start: ",IF(C149="after_attack","After Attack: ",IF(C149="on_attack","On Attack: ",IF(C149="on_faint","On Faint: ",IF(C149="before_attack","Before Attack: ",IF(C149="before_hit","Before Hit: ",IF(C149="on_ally_faint","On Ally Faint: ",IF(C149="on_kill","On Kill: ",IF(C149="on_debuff","On Debuff: ",IF(C149="on_heal","On Heal: ","")))))))))))))&amp;"Deals "&amp;G149&amp;" damage to all enemies whenever an ally gets healed."</f>
        <v>Deals 10 damage to all enemies whenever an ally gets healed.</v>
      </c>
      <c r="O149" s="9" t="s">
        <v>90</v>
      </c>
    </row>
    <row r="150" spans="1:16" x14ac:dyDescent="0.25">
      <c r="A150" s="2">
        <v>149</v>
      </c>
      <c r="B150" s="2" t="s">
        <v>225</v>
      </c>
      <c r="C150" s="2" t="s">
        <v>204</v>
      </c>
      <c r="D150" s="2" t="s">
        <v>219</v>
      </c>
      <c r="E150" s="2"/>
      <c r="F150" s="2" t="s">
        <v>237</v>
      </c>
      <c r="G150" s="2">
        <v>30</v>
      </c>
      <c r="H150" s="2"/>
      <c r="I150" s="2"/>
      <c r="J150" s="2"/>
      <c r="K150" s="2"/>
      <c r="L150" s="2"/>
      <c r="M150" s="2"/>
      <c r="N150" s="2" t="str">
        <f>IF(C150="passive","",IF(C150="on_battle_start","On Battle Start: ",IF(C150="on_hit","On Hit: ",IF(C150="on_round_start","On Round Start: ",IF(C150="after_attack","After Attack: ",IF(C150="on_attack","On Attack: ",IF(C150="on_faint","On Faint: ",IF(C150="before_attack","Before Attack: ",IF(C150="before_hit","Before Hit: ",IF(C150="on_ally_faint","On Ally Faint: ",IF(C150="on_kill","On Kill: ",IF(C150="on_debuff","On Debuff: ",IF(C150="on_heal","On Heal: ","")))))))))))))&amp;"Deals "&amp;TEXT(G150,"0")&amp;" damage to a random enemy."</f>
        <v>On Heal: Deals 30 damage to a random enemy.</v>
      </c>
      <c r="O150" s="9" t="s">
        <v>90</v>
      </c>
    </row>
    <row r="151" spans="1:16" x14ac:dyDescent="0.25">
      <c r="A151" s="1">
        <v>150</v>
      </c>
      <c r="B151" s="1" t="s">
        <v>226</v>
      </c>
      <c r="C151" s="1" t="s">
        <v>204</v>
      </c>
      <c r="D151" s="1" t="s">
        <v>219</v>
      </c>
      <c r="E151" s="1"/>
      <c r="F151" s="1" t="s">
        <v>412</v>
      </c>
      <c r="G151" s="1">
        <v>0.25</v>
      </c>
      <c r="H151" s="1"/>
      <c r="I151" s="1"/>
      <c r="J151" s="1"/>
      <c r="K151" s="1"/>
      <c r="L151" s="1"/>
      <c r="M151" s="1"/>
      <c r="N151" s="1" t="str">
        <f>IF(C151="passive","",IF(C151="on_battle_start","On Battle Start: ",IF(C151="on_hit","On Hit: ",IF(C151="on_round_start","On Round Start: ",IF(C151="after_attack","After Attack: ",IF(C151="on_attack","On Attack: ",IF(C151="on_faint","On Faint: ",IF(C151="before_attack","Before Attack: ",IF(C151="before_hit","Before Hit: ",IF(C151="on_ally_faint","On Ally Faint: ",IF(C151="on_kill","On Kill: ",IF(C151="on_debuff","On Debuff: ",IF(C151="on_heal","On Heal: ","")))))))))))))&amp;"Deals damage equal to "&amp;TEXT(G151*100,"0")&amp;"% of the HP healed to a random enemy."</f>
        <v>On Heal: Deals damage equal to 25% of the HP healed to a random enemy.</v>
      </c>
      <c r="O151" s="9" t="s">
        <v>90</v>
      </c>
    </row>
    <row r="152" spans="1:16" x14ac:dyDescent="0.25">
      <c r="A152" s="2">
        <v>151</v>
      </c>
      <c r="B152" s="2" t="s">
        <v>227</v>
      </c>
      <c r="C152" s="2" t="s">
        <v>193</v>
      </c>
      <c r="D152" s="2" t="s">
        <v>137</v>
      </c>
      <c r="E152" s="2"/>
      <c r="F152" s="2" t="s">
        <v>237</v>
      </c>
      <c r="G152" s="2">
        <v>15</v>
      </c>
      <c r="H152" s="2"/>
      <c r="I152" s="2"/>
      <c r="J152" s="2"/>
      <c r="K152" s="2"/>
      <c r="L152" s="2"/>
      <c r="M152" s="2"/>
      <c r="N152" s="2" t="str">
        <f>IF(C152="passive","",IF(C152="on_battle_start","On Battle Start: ",IF(C152="on_hit","On Hit: ",IF(C152="on_round_start","On Round Start: ",IF(C152="after_attack","After Attack: ",IF(C152="on_attack","On Attack: ",IF(C152="on_faint","On Faint: ",IF(C152="before_attack","Before Attack: ",IF(C152="before_hit","Before Hit: ",IF(C152="on_ally_faint","On Ally Faint: ",IF(C152="on_kill","On Kill: ",IF(C152="on_debuff","On Debuff: ",IF(C152="on_heal","On Heal: ","")))))))))))))&amp;"Deals "&amp;G152&amp;" damage to all enemies whenever this Pokémon is debuffed."</f>
        <v>On Debuff: Deals 15 damage to all enemies whenever this Pokémon is debuffed.</v>
      </c>
      <c r="O152" s="9" t="s">
        <v>90</v>
      </c>
    </row>
    <row r="153" spans="1:16" x14ac:dyDescent="0.25">
      <c r="A153" s="1">
        <v>152</v>
      </c>
      <c r="B153" s="1" t="s">
        <v>228</v>
      </c>
      <c r="C153" s="1" t="s">
        <v>193</v>
      </c>
      <c r="D153" s="1" t="s">
        <v>144</v>
      </c>
      <c r="E153" s="1">
        <v>1</v>
      </c>
      <c r="F153" s="1" t="s">
        <v>412</v>
      </c>
      <c r="G153" s="1">
        <v>0.2</v>
      </c>
      <c r="H153" s="1"/>
      <c r="I153" s="1"/>
      <c r="J153" s="1"/>
      <c r="K153" s="1"/>
      <c r="L153" s="1"/>
      <c r="M153" s="1"/>
      <c r="N153" s="1" t="str">
        <f>IF(C153="passive","",IF(C153="on_battle_start","On Battle Start: ",IF(C153="on_hit","On Hit: ",IF(C153="on_round_start","On Round Start: ",IF(C153="after_attack","After Attack: ",IF(C153="on_attack","On Attack: ",IF(C153="on_faint","On Faint: ",IF(C153="before_attack","Before Attack: ",IF(C153="before_hit","Before Hit: ",IF(C153="on_ally_faint","On Ally Faint: ",IF(C153="on_kill","On Kill: ",IF(C153="on_debuff","On Debuff: ",IF(C153="on_heal","On Heal: ","")))))))))))))&amp;"Deals "&amp;TEXT(G153*100,"0")&amp;"% of own max HP as damage to the last enemy."</f>
        <v>On Debuff: Deals 20% of own max HP as damage to the last enemy.</v>
      </c>
      <c r="O153" s="9" t="s">
        <v>90</v>
      </c>
    </row>
    <row r="154" spans="1:16" x14ac:dyDescent="0.25">
      <c r="A154" s="2">
        <v>153</v>
      </c>
      <c r="B154" s="13" t="s">
        <v>229</v>
      </c>
      <c r="C154" s="13" t="s">
        <v>193</v>
      </c>
      <c r="D154" s="13" t="s">
        <v>219</v>
      </c>
      <c r="E154" s="13"/>
      <c r="F154" s="13" t="s">
        <v>237</v>
      </c>
      <c r="G154" s="13">
        <v>20</v>
      </c>
      <c r="H154" s="13"/>
      <c r="I154" s="13"/>
      <c r="J154" s="13"/>
      <c r="K154" s="2"/>
      <c r="L154" s="2"/>
      <c r="M154" s="2"/>
      <c r="N154" s="13" t="str">
        <f>IF(C154="passive","",IF(C154="on_battle_start","On Battle Start: ",IF(C154="on_hit","On Hit: ",IF(C154="on_round_start","On Round Start: ",IF(C154="after_attack","After Attack: ",IF(C154="on_attack","On Attack: ",IF(C154="on_faint","On Faint: ",IF(C154="before_attack","Before Attack: ",IF(C154="before_hit","Before Hit: ",IF(C154="on_ally_faint","On Ally Faint: ",IF(C154="on_kill","On Kill: ",IF(C154="on_debuff","On Debuff: ",IF(C154="on_heal","On Heal: ","")))))))))))))&amp;"Deals "&amp;G154&amp;" damage to a random enemy whenever a stat is reduced."</f>
        <v>On Debuff: Deals 20 damage to a random enemy whenever a stat is reduced.</v>
      </c>
      <c r="O154" s="9" t="s">
        <v>90</v>
      </c>
    </row>
    <row r="155" spans="1:16" x14ac:dyDescent="0.25">
      <c r="A155" s="1">
        <v>154</v>
      </c>
      <c r="B155" s="1" t="s">
        <v>230</v>
      </c>
      <c r="C155" s="1" t="s">
        <v>193</v>
      </c>
      <c r="D155" s="1" t="s">
        <v>137</v>
      </c>
      <c r="E155" s="1"/>
      <c r="F155" s="1" t="s">
        <v>237</v>
      </c>
      <c r="G155" s="1">
        <v>100</v>
      </c>
      <c r="H155" s="1" t="s">
        <v>242</v>
      </c>
      <c r="I155" s="1"/>
      <c r="J155" s="1"/>
      <c r="K155" s="1"/>
      <c r="L155" s="1"/>
      <c r="M155" s="1"/>
      <c r="N155" s="1" t="str">
        <f>IF(C155="passive","",IF(C155="on_battle_start","On Battle Start: ",IF(C155="on_hit","On Hit: ",IF(C155="on_round_start","On Round Start: ",IF(C155="after_attack","After Attack: ",IF(C155="on_attack","On Attack: ",IF(C155="on_faint","On Faint: ",IF(C155="before_attack","Before Attack: ",IF(C155="before_hit","Before Hit: ",IF(C155="on_ally_faint","On Ally Faint: ",IF(C155="on_kill","On Kill: ",IF(C155="on_debuff","On Debuff: ",IF(C155="on_heal","On Heal: ","")))))))))))))&amp;"After 3 debuffs received, deals "&amp;G155&amp;" damage to all enemies."</f>
        <v>On Debuff: After 3 debuffs received, deals 100 damage to all enemies.</v>
      </c>
      <c r="O155" s="9" t="s">
        <v>90</v>
      </c>
    </row>
    <row r="156" spans="1:16" x14ac:dyDescent="0.25">
      <c r="A156" s="2">
        <v>155</v>
      </c>
      <c r="B156" s="2" t="s">
        <v>231</v>
      </c>
      <c r="C156" s="2" t="s">
        <v>14</v>
      </c>
      <c r="D156" s="2" t="s">
        <v>120</v>
      </c>
      <c r="E156" s="2"/>
      <c r="F156" s="2" t="s">
        <v>237</v>
      </c>
      <c r="G156" s="2">
        <v>20</v>
      </c>
      <c r="H156" s="2"/>
      <c r="I156" s="2"/>
      <c r="J156" s="2"/>
      <c r="K156" s="2"/>
      <c r="L156" s="2"/>
      <c r="M156" s="2"/>
      <c r="N156" s="2" t="str">
        <f>IF(C156="passive","",IF(C156="on_battle_start","On Battle Start: ",IF(C156="on_hit","On Hit: ",IF(C156="on_round_start","On Round Start: ",IF(C156="after_attack","After Attack: ",IF(C156="on_attack","On Attack: ",IF(C156="on_faint","On Faint: ",IF(C156="before_attack","Before Attack: ",IF(C156="before_hit","Before Hit: ",IF(C156="on_ally_faint","On Ally Faint: ",IF(C156="on_kill","On Kill: ",IF(C156="on_debuff","On Debuff: ",IF(C156="on_heal","On Heal: ","")))))))))))))&amp;"Deals "&amp;G156&amp;" damage back to attacker."</f>
        <v>On Hit: Deals 20 damage back to attacker.</v>
      </c>
      <c r="O156" s="9" t="s">
        <v>90</v>
      </c>
    </row>
    <row r="157" spans="1:16" x14ac:dyDescent="0.25">
      <c r="A157" s="1">
        <v>156</v>
      </c>
      <c r="B157" s="13" t="s">
        <v>253</v>
      </c>
      <c r="C157" s="13" t="s">
        <v>17</v>
      </c>
      <c r="D157" s="13" t="s">
        <v>254</v>
      </c>
      <c r="E157" s="13"/>
      <c r="F157" s="13" t="s">
        <v>255</v>
      </c>
      <c r="G157" s="13">
        <v>1</v>
      </c>
      <c r="H157" s="13"/>
      <c r="I157" s="13"/>
      <c r="J157" s="13"/>
      <c r="K157" s="1"/>
      <c r="L157" s="1"/>
      <c r="M157" s="1"/>
      <c r="N157" s="13" t="s">
        <v>258</v>
      </c>
      <c r="O157" s="9" t="s">
        <v>90</v>
      </c>
    </row>
    <row r="158" spans="1:16" x14ac:dyDescent="0.25">
      <c r="A158" s="2">
        <v>157</v>
      </c>
      <c r="B158" s="2" t="s">
        <v>401</v>
      </c>
      <c r="C158" s="2" t="s">
        <v>14</v>
      </c>
      <c r="D158" s="2" t="s">
        <v>201</v>
      </c>
      <c r="E158" s="2"/>
      <c r="F158" s="2" t="s">
        <v>411</v>
      </c>
      <c r="G158" s="2">
        <v>15</v>
      </c>
      <c r="H158" s="2"/>
      <c r="I158" s="2"/>
      <c r="J158" s="2"/>
      <c r="K158" s="2" t="s">
        <v>262</v>
      </c>
      <c r="L158" s="2">
        <v>5</v>
      </c>
      <c r="M158" s="2" t="s">
        <v>267</v>
      </c>
      <c r="N158" s="2" t="str">
        <f>IF(C158="passive","",IF(C158="on_battle_start","On Battle Start: ",IF(C158="on_hit","On Hit: ",IF(C158="on_round_start","On Round Start: ",IF(C158="after_attack","After Attack: ",IF(C158="on_attack","On Attack: ",IF(C158="on_faint","On Faint: ",IF(C158="before_attack","Before Attack: ",IF(C158="before_hit","Before Hit: ",IF(C158="on_ally_faint","On Ally Faint: ",IF(C158="on_kill","On Kill: ",IF(C158="on_debuff","On Debuff: ",IF(C158="on_heal","On Heal: ","")))))))))))))&amp;"Increases Speed of a random ally by 15."</f>
        <v>On Hit: Increases Speed of a random ally by 15.</v>
      </c>
    </row>
    <row r="159" spans="1:16" x14ac:dyDescent="0.25">
      <c r="A159" s="1">
        <v>158</v>
      </c>
      <c r="B159" s="1" t="s">
        <v>274</v>
      </c>
      <c r="C159" s="1" t="s">
        <v>8</v>
      </c>
      <c r="D159" s="1" t="s">
        <v>219</v>
      </c>
      <c r="E159" s="1"/>
      <c r="F159" s="1" t="s">
        <v>237</v>
      </c>
      <c r="G159" s="1">
        <v>30</v>
      </c>
      <c r="H159" s="1"/>
      <c r="I159" s="1"/>
      <c r="J159" s="1"/>
      <c r="K159" s="1" t="s">
        <v>272</v>
      </c>
      <c r="L159" s="1">
        <v>6</v>
      </c>
      <c r="M159" s="1" t="s">
        <v>271</v>
      </c>
      <c r="N159" s="1" t="str">
        <f>IF(C159="passive","",IF(C159="on_battle_start","On Battle Start: ",IF(C159="on_hit","On Hit: ",IF(C159="on_round_start","On Round Start: ",IF(C159="after_attack","After Attack: ",IF(C159="on_attack","On Attack: ",IF(C159="on_faint","On Faint: ",IF(C159="before_attack","Before Attack: ",IF(C159="before_hit","Before Hit: ",IF(C159="on_ally_faint","On Ally Faint: ",IF(C159="on_kill","On Kill: ",IF(C159="on_debuff","On Debuff: ",IF(C159="on_heal","On Heal: ","")))))))))))))&amp;"Deals "&amp;G159&amp;" damage to a random enemy."</f>
        <v>On Battle Start: Deals 30 damage to a random enemy.</v>
      </c>
    </row>
    <row r="160" spans="1:16" x14ac:dyDescent="0.25">
      <c r="A160" s="2">
        <v>159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</row>
    <row r="161" spans="1:14" x14ac:dyDescent="0.25">
      <c r="A161" s="1">
        <v>160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1:14" x14ac:dyDescent="0.25">
      <c r="A162" s="2">
        <v>161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</row>
    <row r="163" spans="1:14" x14ac:dyDescent="0.25">
      <c r="A163" s="1">
        <v>162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1:14" x14ac:dyDescent="0.25">
      <c r="A164" s="2">
        <v>163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</row>
    <row r="165" spans="1:14" x14ac:dyDescent="0.25">
      <c r="A165" s="1">
        <v>164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1:14" x14ac:dyDescent="0.25">
      <c r="A166" s="2">
        <v>165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</row>
    <row r="167" spans="1:14" x14ac:dyDescent="0.25">
      <c r="A167" s="1">
        <v>166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1:14" x14ac:dyDescent="0.25">
      <c r="A168" s="2">
        <v>167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</row>
    <row r="169" spans="1:14" x14ac:dyDescent="0.25">
      <c r="A169" s="1">
        <v>168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1:14" x14ac:dyDescent="0.25">
      <c r="A170" s="2">
        <v>169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</row>
    <row r="171" spans="1:14" x14ac:dyDescent="0.25">
      <c r="A171" s="1">
        <v>170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1:14" x14ac:dyDescent="0.25">
      <c r="A172" s="2">
        <v>171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</row>
    <row r="173" spans="1:14" x14ac:dyDescent="0.25">
      <c r="A173" s="1">
        <v>172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1:14" x14ac:dyDescent="0.25">
      <c r="A174" s="2">
        <v>173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</row>
    <row r="175" spans="1:14" x14ac:dyDescent="0.25">
      <c r="A175" s="1">
        <v>174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1:14" x14ac:dyDescent="0.25">
      <c r="A176" s="2">
        <v>175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</row>
    <row r="177" spans="1:14" x14ac:dyDescent="0.25">
      <c r="A177" s="1">
        <v>176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1:14" x14ac:dyDescent="0.25">
      <c r="A178" s="2">
        <v>177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</row>
    <row r="179" spans="1:14" x14ac:dyDescent="0.25">
      <c r="A179" s="1">
        <v>178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1:14" x14ac:dyDescent="0.25">
      <c r="A180" s="2">
        <v>179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</row>
    <row r="181" spans="1:14" x14ac:dyDescent="0.25">
      <c r="A181" s="1">
        <v>180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1:14" x14ac:dyDescent="0.25">
      <c r="A182" s="2">
        <v>181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</row>
    <row r="183" spans="1:14" x14ac:dyDescent="0.25">
      <c r="A183" s="1">
        <v>182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1:14" x14ac:dyDescent="0.25">
      <c r="A184" s="2">
        <v>183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</row>
    <row r="185" spans="1:14" x14ac:dyDescent="0.25">
      <c r="A185" s="1">
        <v>184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1:14" x14ac:dyDescent="0.25">
      <c r="A186" s="2">
        <v>185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</row>
    <row r="187" spans="1:14" x14ac:dyDescent="0.25">
      <c r="A187" s="1">
        <v>186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1:14" x14ac:dyDescent="0.25">
      <c r="A188" s="2">
        <v>187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</row>
    <row r="189" spans="1:14" x14ac:dyDescent="0.25">
      <c r="A189" s="1">
        <v>188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1:14" x14ac:dyDescent="0.25">
      <c r="A190" s="2">
        <v>189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</row>
    <row r="191" spans="1:14" x14ac:dyDescent="0.25">
      <c r="A191" s="1">
        <v>190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1:14" x14ac:dyDescent="0.25">
      <c r="A192" s="2">
        <v>191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</row>
    <row r="193" spans="1:14" x14ac:dyDescent="0.25">
      <c r="A193" s="1">
        <v>192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1:14" x14ac:dyDescent="0.25">
      <c r="A194" s="2">
        <v>193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</row>
    <row r="195" spans="1:14" x14ac:dyDescent="0.25">
      <c r="A195" s="1">
        <v>194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1:14" x14ac:dyDescent="0.25">
      <c r="A196" s="2">
        <v>195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</row>
    <row r="197" spans="1:14" x14ac:dyDescent="0.25">
      <c r="A197" s="1">
        <v>196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1:14" x14ac:dyDescent="0.25">
      <c r="A198" s="2">
        <v>197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</row>
    <row r="199" spans="1:14" x14ac:dyDescent="0.25">
      <c r="A199" s="1">
        <v>198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1:14" x14ac:dyDescent="0.25">
      <c r="A200" s="2">
        <v>199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</row>
    <row r="201" spans="1:14" x14ac:dyDescent="0.25">
      <c r="A201" s="1">
        <v>200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1:14" x14ac:dyDescent="0.25">
      <c r="A202" s="2">
        <v>201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</row>
    <row r="203" spans="1:14" x14ac:dyDescent="0.25">
      <c r="A203" s="1">
        <v>202</v>
      </c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1:14" x14ac:dyDescent="0.25">
      <c r="A204" s="2">
        <v>203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</row>
    <row r="205" spans="1:14" x14ac:dyDescent="0.25">
      <c r="A205" s="1">
        <v>204</v>
      </c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1:14" x14ac:dyDescent="0.25">
      <c r="A206" s="2">
        <v>205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</row>
    <row r="207" spans="1:14" x14ac:dyDescent="0.25">
      <c r="A207" s="1">
        <v>206</v>
      </c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1:14" x14ac:dyDescent="0.25">
      <c r="A208" s="2">
        <v>207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</row>
    <row r="209" spans="1:14" x14ac:dyDescent="0.25">
      <c r="A209" s="1">
        <v>208</v>
      </c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1:14" x14ac:dyDescent="0.25">
      <c r="A210" s="2">
        <v>209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</row>
    <row r="211" spans="1:14" x14ac:dyDescent="0.25">
      <c r="A211" s="1">
        <v>210</v>
      </c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1:14" x14ac:dyDescent="0.25">
      <c r="A212" s="2">
        <v>211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</row>
    <row r="213" spans="1:14" x14ac:dyDescent="0.25">
      <c r="A213" s="1">
        <v>212</v>
      </c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1:14" x14ac:dyDescent="0.25">
      <c r="A214" s="2">
        <v>213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</row>
    <row r="215" spans="1:14" x14ac:dyDescent="0.25">
      <c r="A215" s="1">
        <v>214</v>
      </c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1:14" x14ac:dyDescent="0.25">
      <c r="A216" s="2">
        <v>215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</row>
    <row r="217" spans="1:14" x14ac:dyDescent="0.25">
      <c r="A217" s="1">
        <v>216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1:14" x14ac:dyDescent="0.25">
      <c r="A218" s="2">
        <v>217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</row>
    <row r="219" spans="1:14" x14ac:dyDescent="0.25">
      <c r="A219" s="1">
        <v>218</v>
      </c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1:14" x14ac:dyDescent="0.25">
      <c r="A220" s="2">
        <v>219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</row>
    <row r="221" spans="1:14" x14ac:dyDescent="0.25">
      <c r="A221" s="1">
        <v>220</v>
      </c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1:14" x14ac:dyDescent="0.25">
      <c r="A222" s="2">
        <v>221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</row>
    <row r="223" spans="1:14" x14ac:dyDescent="0.25">
      <c r="A223" s="1">
        <v>222</v>
      </c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1:14" x14ac:dyDescent="0.25">
      <c r="A224" s="2">
        <v>223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</row>
    <row r="225" spans="1:14" x14ac:dyDescent="0.25">
      <c r="A225" s="1">
        <v>224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1:14" x14ac:dyDescent="0.25">
      <c r="A226" s="2">
        <v>225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</row>
    <row r="227" spans="1:14" x14ac:dyDescent="0.25">
      <c r="A227" s="1">
        <v>226</v>
      </c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1:14" x14ac:dyDescent="0.25">
      <c r="A228" s="2">
        <v>227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</row>
    <row r="229" spans="1:14" x14ac:dyDescent="0.25">
      <c r="A229" s="1">
        <v>228</v>
      </c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1:14" x14ac:dyDescent="0.25">
      <c r="A230" s="2">
        <v>229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</row>
    <row r="231" spans="1:14" x14ac:dyDescent="0.25">
      <c r="A231" s="1">
        <v>230</v>
      </c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1:14" x14ac:dyDescent="0.25">
      <c r="A232" s="2">
        <v>231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</row>
    <row r="233" spans="1:14" x14ac:dyDescent="0.25">
      <c r="A233" s="1">
        <v>232</v>
      </c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1:14" x14ac:dyDescent="0.25">
      <c r="A234" s="2">
        <v>233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</row>
    <row r="235" spans="1:14" x14ac:dyDescent="0.25">
      <c r="A235" s="1">
        <v>234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1:14" x14ac:dyDescent="0.25">
      <c r="A236" s="2">
        <v>235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</row>
    <row r="237" spans="1:14" x14ac:dyDescent="0.25">
      <c r="A237" s="1">
        <v>236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1:14" x14ac:dyDescent="0.25">
      <c r="A238" s="2">
        <v>237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</row>
    <row r="239" spans="1:14" x14ac:dyDescent="0.25">
      <c r="A239" s="1">
        <v>238</v>
      </c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1:14" x14ac:dyDescent="0.25">
      <c r="A240" s="2">
        <v>239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</row>
    <row r="241" spans="1:14" x14ac:dyDescent="0.25">
      <c r="A241" s="1">
        <v>240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1:14" x14ac:dyDescent="0.25">
      <c r="A242" s="2">
        <v>241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</row>
    <row r="243" spans="1:14" x14ac:dyDescent="0.25">
      <c r="A243" s="1">
        <v>242</v>
      </c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1:14" x14ac:dyDescent="0.25">
      <c r="A244" s="2">
        <v>243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</row>
    <row r="245" spans="1:14" x14ac:dyDescent="0.25">
      <c r="A245" s="1">
        <v>244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1:14" x14ac:dyDescent="0.25">
      <c r="A246" s="2">
        <v>245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</row>
    <row r="247" spans="1:14" x14ac:dyDescent="0.25">
      <c r="A247" s="1">
        <v>246</v>
      </c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1:14" x14ac:dyDescent="0.25">
      <c r="A248" s="2">
        <v>247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</row>
    <row r="249" spans="1:14" x14ac:dyDescent="0.25">
      <c r="A249" s="1">
        <v>248</v>
      </c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1:14" x14ac:dyDescent="0.25">
      <c r="A250" s="2">
        <v>249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</row>
    <row r="251" spans="1:14" x14ac:dyDescent="0.25">
      <c r="A251" s="1">
        <v>250</v>
      </c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1:14" x14ac:dyDescent="0.25">
      <c r="A252" s="2">
        <v>251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</row>
    <row r="253" spans="1:14" x14ac:dyDescent="0.25">
      <c r="A253" s="1">
        <v>252</v>
      </c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1:14" x14ac:dyDescent="0.25">
      <c r="A254" s="2">
        <v>253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</row>
    <row r="255" spans="1:14" x14ac:dyDescent="0.25">
      <c r="A255" s="1">
        <v>254</v>
      </c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1:14" x14ac:dyDescent="0.25">
      <c r="A256" s="2">
        <v>255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</row>
    <row r="257" spans="1:14" x14ac:dyDescent="0.25">
      <c r="A257" s="1">
        <v>256</v>
      </c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1:14" x14ac:dyDescent="0.25">
      <c r="A258" s="2">
        <v>257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</row>
    <row r="259" spans="1:14" x14ac:dyDescent="0.25">
      <c r="A259" s="1">
        <v>258</v>
      </c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1:14" x14ac:dyDescent="0.25">
      <c r="A260" s="2">
        <v>259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</row>
    <row r="261" spans="1:14" x14ac:dyDescent="0.25">
      <c r="A261" s="1">
        <v>260</v>
      </c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1:14" x14ac:dyDescent="0.25">
      <c r="A262" s="2">
        <v>261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</row>
    <row r="263" spans="1:14" x14ac:dyDescent="0.25">
      <c r="A263" s="1">
        <v>262</v>
      </c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1:14" x14ac:dyDescent="0.25">
      <c r="A264" s="2">
        <v>263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</row>
    <row r="265" spans="1:14" x14ac:dyDescent="0.25">
      <c r="A265" s="1">
        <v>264</v>
      </c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1:14" x14ac:dyDescent="0.25">
      <c r="A266" s="2">
        <v>265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</row>
    <row r="267" spans="1:14" x14ac:dyDescent="0.25">
      <c r="A267" s="1">
        <v>266</v>
      </c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1:14" x14ac:dyDescent="0.25">
      <c r="A268" s="2">
        <v>267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</row>
    <row r="269" spans="1:14" x14ac:dyDescent="0.25">
      <c r="A269" s="1">
        <v>268</v>
      </c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1:14" x14ac:dyDescent="0.25">
      <c r="A270" s="2">
        <v>269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</row>
    <row r="271" spans="1:14" x14ac:dyDescent="0.25">
      <c r="A271" s="1">
        <v>270</v>
      </c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1:14" x14ac:dyDescent="0.25">
      <c r="A272" s="2">
        <v>271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</row>
    <row r="273" spans="1:14" x14ac:dyDescent="0.25">
      <c r="A273" s="1">
        <v>272</v>
      </c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1:14" x14ac:dyDescent="0.25">
      <c r="A274" s="2">
        <v>273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</row>
    <row r="275" spans="1:14" x14ac:dyDescent="0.25">
      <c r="A275" s="1">
        <v>274</v>
      </c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1:14" x14ac:dyDescent="0.25">
      <c r="A276" s="2">
        <v>275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</row>
    <row r="277" spans="1:14" x14ac:dyDescent="0.25">
      <c r="A277" s="1">
        <v>276</v>
      </c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1:14" x14ac:dyDescent="0.25">
      <c r="A278" s="2">
        <v>277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</row>
    <row r="279" spans="1:14" x14ac:dyDescent="0.25">
      <c r="A279" s="1">
        <v>278</v>
      </c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1:14" x14ac:dyDescent="0.25">
      <c r="A280" s="2">
        <v>279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</row>
    <row r="281" spans="1:14" x14ac:dyDescent="0.25">
      <c r="A281" s="1">
        <v>280</v>
      </c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1:14" x14ac:dyDescent="0.25">
      <c r="A282" s="2">
        <v>281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</row>
    <row r="283" spans="1:14" x14ac:dyDescent="0.25">
      <c r="A283" s="1">
        <v>282</v>
      </c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1:14" x14ac:dyDescent="0.25">
      <c r="A284" s="2">
        <v>283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</row>
    <row r="285" spans="1:14" x14ac:dyDescent="0.25">
      <c r="A285" s="1">
        <v>284</v>
      </c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1:14" x14ac:dyDescent="0.25">
      <c r="A286" s="2">
        <v>285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</row>
    <row r="287" spans="1:14" x14ac:dyDescent="0.25">
      <c r="A287" s="1">
        <v>286</v>
      </c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1:14" x14ac:dyDescent="0.25">
      <c r="A288" s="2">
        <v>287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</row>
    <row r="289" spans="1:14" x14ac:dyDescent="0.25">
      <c r="A289" s="1">
        <v>288</v>
      </c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1:14" x14ac:dyDescent="0.25">
      <c r="A290" s="2">
        <v>289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</row>
    <row r="291" spans="1:14" x14ac:dyDescent="0.25">
      <c r="A291" s="1">
        <v>290</v>
      </c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1:14" x14ac:dyDescent="0.25">
      <c r="A292" s="2">
        <v>291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</row>
    <row r="293" spans="1:14" x14ac:dyDescent="0.25">
      <c r="A293" s="1">
        <v>292</v>
      </c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1:14" x14ac:dyDescent="0.25">
      <c r="A294" s="2">
        <v>293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</row>
    <row r="295" spans="1:14" x14ac:dyDescent="0.25">
      <c r="A295" s="1">
        <v>294</v>
      </c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1:14" x14ac:dyDescent="0.25">
      <c r="A296" s="2">
        <v>295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</row>
    <row r="297" spans="1:14" x14ac:dyDescent="0.25">
      <c r="A297" s="1">
        <v>296</v>
      </c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1:14" x14ac:dyDescent="0.25">
      <c r="A298" s="2">
        <v>297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</row>
    <row r="299" spans="1:14" x14ac:dyDescent="0.25">
      <c r="A299" s="1">
        <v>298</v>
      </c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1:14" x14ac:dyDescent="0.25">
      <c r="A300" s="2">
        <v>299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</row>
    <row r="301" spans="1:14" x14ac:dyDescent="0.25">
      <c r="A301" s="1">
        <v>300</v>
      </c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1:14" x14ac:dyDescent="0.25">
      <c r="A302" s="2">
        <v>301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</row>
    <row r="303" spans="1:14" x14ac:dyDescent="0.25">
      <c r="A303" s="1">
        <v>302</v>
      </c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1:14" x14ac:dyDescent="0.25">
      <c r="A304" s="2">
        <v>303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</row>
    <row r="305" spans="1:14" x14ac:dyDescent="0.25">
      <c r="A305" s="1">
        <v>304</v>
      </c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1:14" x14ac:dyDescent="0.25">
      <c r="A306" s="2">
        <v>305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</row>
    <row r="307" spans="1:14" x14ac:dyDescent="0.25">
      <c r="A307" s="1">
        <v>306</v>
      </c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1:14" x14ac:dyDescent="0.25">
      <c r="A308" s="2">
        <v>307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</row>
    <row r="309" spans="1:14" x14ac:dyDescent="0.25">
      <c r="A309" s="1">
        <v>308</v>
      </c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1:14" x14ac:dyDescent="0.25">
      <c r="A310" s="2">
        <v>309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</row>
    <row r="311" spans="1:14" x14ac:dyDescent="0.25">
      <c r="A311" s="1">
        <v>310</v>
      </c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1:14" x14ac:dyDescent="0.25">
      <c r="A312" s="2">
        <v>311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</row>
    <row r="313" spans="1:14" x14ac:dyDescent="0.25">
      <c r="A313" s="1">
        <v>312</v>
      </c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1:14" x14ac:dyDescent="0.25">
      <c r="A314" s="2">
        <v>313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</row>
    <row r="315" spans="1:14" x14ac:dyDescent="0.25">
      <c r="A315" s="1">
        <v>314</v>
      </c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1:14" x14ac:dyDescent="0.25">
      <c r="A316" s="2">
        <v>315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</row>
    <row r="317" spans="1:14" x14ac:dyDescent="0.25">
      <c r="A317" s="1">
        <v>316</v>
      </c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1:14" x14ac:dyDescent="0.25">
      <c r="A318" s="2">
        <v>317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</row>
    <row r="319" spans="1:14" x14ac:dyDescent="0.25">
      <c r="A319" s="1">
        <v>318</v>
      </c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1:14" x14ac:dyDescent="0.25">
      <c r="A320" s="2">
        <v>319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</row>
    <row r="321" spans="1:14" x14ac:dyDescent="0.25">
      <c r="A321" s="1">
        <v>320</v>
      </c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</row>
    <row r="322" spans="1:14" x14ac:dyDescent="0.25">
      <c r="A322" s="2">
        <v>321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</row>
    <row r="323" spans="1:14" x14ac:dyDescent="0.25">
      <c r="A323" s="1">
        <v>322</v>
      </c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</row>
    <row r="324" spans="1:14" x14ac:dyDescent="0.25">
      <c r="A324" s="2">
        <v>323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</row>
    <row r="325" spans="1:14" x14ac:dyDescent="0.25">
      <c r="A325" s="1">
        <v>324</v>
      </c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</row>
    <row r="326" spans="1:14" x14ac:dyDescent="0.25">
      <c r="A326" s="2">
        <v>325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</row>
    <row r="327" spans="1:14" x14ac:dyDescent="0.25">
      <c r="A327" s="1">
        <v>326</v>
      </c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</row>
    <row r="328" spans="1:14" x14ac:dyDescent="0.25">
      <c r="A328" s="2">
        <v>327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</row>
    <row r="329" spans="1:14" x14ac:dyDescent="0.25">
      <c r="A329" s="1">
        <v>328</v>
      </c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</row>
    <row r="330" spans="1:14" x14ac:dyDescent="0.25">
      <c r="A330" s="2">
        <v>329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</row>
    <row r="331" spans="1:14" x14ac:dyDescent="0.25">
      <c r="A331" s="1">
        <v>330</v>
      </c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</row>
    <row r="332" spans="1:14" x14ac:dyDescent="0.25">
      <c r="A332" s="2">
        <v>331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</row>
    <row r="333" spans="1:14" x14ac:dyDescent="0.25">
      <c r="A333" s="1">
        <v>332</v>
      </c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</row>
    <row r="334" spans="1:14" x14ac:dyDescent="0.25">
      <c r="A334" s="2">
        <v>333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</row>
    <row r="335" spans="1:14" x14ac:dyDescent="0.25">
      <c r="A335" s="1">
        <v>334</v>
      </c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</row>
    <row r="336" spans="1:14" x14ac:dyDescent="0.25">
      <c r="A336" s="2">
        <v>335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</row>
    <row r="337" spans="1:14" x14ac:dyDescent="0.25">
      <c r="A337" s="1">
        <v>336</v>
      </c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</row>
    <row r="338" spans="1:14" x14ac:dyDescent="0.25">
      <c r="A338" s="2">
        <v>337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</row>
    <row r="339" spans="1:14" x14ac:dyDescent="0.25">
      <c r="A339" s="1">
        <v>338</v>
      </c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</row>
    <row r="340" spans="1:14" x14ac:dyDescent="0.25">
      <c r="A340" s="2">
        <v>339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</row>
    <row r="341" spans="1:14" x14ac:dyDescent="0.25">
      <c r="A341" s="1">
        <v>340</v>
      </c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</row>
    <row r="342" spans="1:14" x14ac:dyDescent="0.25">
      <c r="A342" s="2">
        <v>341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</row>
    <row r="343" spans="1:14" x14ac:dyDescent="0.25">
      <c r="A343" s="1">
        <v>342</v>
      </c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</row>
    <row r="344" spans="1:14" x14ac:dyDescent="0.25">
      <c r="A344" s="2">
        <v>343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</row>
    <row r="345" spans="1:14" x14ac:dyDescent="0.25">
      <c r="A345" s="1">
        <v>344</v>
      </c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</row>
    <row r="346" spans="1:14" x14ac:dyDescent="0.25">
      <c r="A346" s="2">
        <v>345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</row>
    <row r="347" spans="1:14" x14ac:dyDescent="0.25">
      <c r="A347" s="1">
        <v>346</v>
      </c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</row>
    <row r="348" spans="1:14" x14ac:dyDescent="0.25">
      <c r="A348" s="2">
        <v>347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</row>
    <row r="349" spans="1:14" x14ac:dyDescent="0.25">
      <c r="A349" s="1">
        <v>348</v>
      </c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</row>
    <row r="350" spans="1:14" x14ac:dyDescent="0.25">
      <c r="A350" s="2">
        <v>349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</row>
    <row r="351" spans="1:14" x14ac:dyDescent="0.25">
      <c r="A351" s="1">
        <v>350</v>
      </c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</row>
    <row r="352" spans="1:14" x14ac:dyDescent="0.25">
      <c r="A352" s="2">
        <v>351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</row>
    <row r="353" spans="1:14" x14ac:dyDescent="0.25">
      <c r="A353" s="1">
        <v>352</v>
      </c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</row>
    <row r="354" spans="1:14" x14ac:dyDescent="0.25">
      <c r="A354" s="2">
        <v>353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</row>
    <row r="355" spans="1:14" x14ac:dyDescent="0.25">
      <c r="A355" s="1">
        <v>354</v>
      </c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</row>
    <row r="356" spans="1:14" x14ac:dyDescent="0.25">
      <c r="A356" s="2">
        <v>355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</row>
    <row r="357" spans="1:14" x14ac:dyDescent="0.25">
      <c r="A357" s="1">
        <v>356</v>
      </c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</row>
    <row r="358" spans="1:14" x14ac:dyDescent="0.25">
      <c r="A358" s="2">
        <v>357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</row>
    <row r="359" spans="1:14" x14ac:dyDescent="0.25">
      <c r="A359" s="1">
        <v>358</v>
      </c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</row>
    <row r="360" spans="1:14" x14ac:dyDescent="0.25">
      <c r="A360" s="2">
        <v>359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</row>
    <row r="361" spans="1:14" x14ac:dyDescent="0.25">
      <c r="A361" s="1">
        <v>360</v>
      </c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</row>
    <row r="362" spans="1:14" x14ac:dyDescent="0.25">
      <c r="A362" s="2">
        <v>361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</row>
    <row r="363" spans="1:14" x14ac:dyDescent="0.25">
      <c r="A363" s="1">
        <v>362</v>
      </c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</row>
    <row r="364" spans="1:14" x14ac:dyDescent="0.25">
      <c r="A364" s="2">
        <v>363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</row>
    <row r="365" spans="1:14" x14ac:dyDescent="0.25">
      <c r="A365" s="1">
        <v>364</v>
      </c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</row>
    <row r="366" spans="1:14" x14ac:dyDescent="0.25">
      <c r="A366" s="2">
        <v>365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</row>
    <row r="367" spans="1:14" x14ac:dyDescent="0.25">
      <c r="A367" s="1">
        <v>366</v>
      </c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</row>
    <row r="368" spans="1:14" x14ac:dyDescent="0.25">
      <c r="A368" s="2">
        <v>367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</row>
    <row r="369" spans="1:14" x14ac:dyDescent="0.25">
      <c r="A369" s="1">
        <v>368</v>
      </c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</row>
    <row r="370" spans="1:14" x14ac:dyDescent="0.25">
      <c r="A370" s="2">
        <v>369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</row>
    <row r="371" spans="1:14" x14ac:dyDescent="0.25">
      <c r="A371" s="1">
        <v>370</v>
      </c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</row>
    <row r="372" spans="1:14" x14ac:dyDescent="0.25">
      <c r="A372" s="2">
        <v>371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</row>
    <row r="373" spans="1:14" x14ac:dyDescent="0.25">
      <c r="A373" s="1">
        <v>372</v>
      </c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</row>
    <row r="374" spans="1:14" x14ac:dyDescent="0.25">
      <c r="A374" s="2">
        <v>373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</row>
    <row r="375" spans="1:14" x14ac:dyDescent="0.25">
      <c r="A375" s="1">
        <v>374</v>
      </c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</row>
    <row r="376" spans="1:14" x14ac:dyDescent="0.25">
      <c r="A376" s="2">
        <v>375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</row>
    <row r="377" spans="1:14" x14ac:dyDescent="0.25">
      <c r="A377" s="1">
        <v>376</v>
      </c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</row>
    <row r="378" spans="1:14" x14ac:dyDescent="0.25">
      <c r="A378" s="2">
        <v>377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</row>
    <row r="379" spans="1:14" x14ac:dyDescent="0.25">
      <c r="A379" s="1">
        <v>378</v>
      </c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</row>
    <row r="380" spans="1:14" x14ac:dyDescent="0.25">
      <c r="A380" s="2">
        <v>379</v>
      </c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</row>
    <row r="381" spans="1:14" x14ac:dyDescent="0.25">
      <c r="A381" s="1">
        <v>380</v>
      </c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</row>
    <row r="382" spans="1:14" x14ac:dyDescent="0.25">
      <c r="A382" s="2">
        <v>381</v>
      </c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</row>
    <row r="383" spans="1:14" x14ac:dyDescent="0.25">
      <c r="A383" s="1">
        <v>382</v>
      </c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  <row r="384" spans="1:14" x14ac:dyDescent="0.25">
      <c r="A384" s="2">
        <v>383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</row>
    <row r="385" spans="1:14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</row>
    <row r="386" spans="1:14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</row>
    <row r="387" spans="1:14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</row>
  </sheetData>
  <autoFilter ref="A1:U387" xr:uid="{FA79B751-29A0-4CEF-B396-6EAA312E05E2}"/>
  <sortState xmlns:xlrd2="http://schemas.microsoft.com/office/spreadsheetml/2017/richdata2" ref="A2:H387">
    <sortCondition ref="A1:A38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3874-8381-4ED1-B6E2-C07632ACD36D}">
  <sheetPr codeName="Sheet2"/>
  <dimension ref="A2:N80"/>
  <sheetViews>
    <sheetView tabSelected="1" workbookViewId="0">
      <selection activeCell="H3" sqref="H3:H8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275</v>
      </c>
      <c r="B2" s="4" t="s">
        <v>84</v>
      </c>
      <c r="C2" s="5" t="s">
        <v>85</v>
      </c>
      <c r="D2" s="6" t="s">
        <v>86</v>
      </c>
      <c r="E2" s="7" t="s">
        <v>87</v>
      </c>
      <c r="F2" s="8" t="s">
        <v>88</v>
      </c>
      <c r="G2" s="10" t="s">
        <v>95</v>
      </c>
      <c r="H2" s="9" t="s">
        <v>90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3</v>
      </c>
      <c r="H4">
        <v>4</v>
      </c>
      <c r="I4">
        <f t="shared" ref="I4:I8" si="0">SUM(B4:H4)</f>
        <v>25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4</v>
      </c>
      <c r="G5">
        <v>5</v>
      </c>
      <c r="H5">
        <v>5</v>
      </c>
      <c r="I5">
        <f t="shared" si="0"/>
        <v>34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5</v>
      </c>
      <c r="C7">
        <v>4</v>
      </c>
      <c r="D7">
        <v>6</v>
      </c>
      <c r="E7">
        <v>4</v>
      </c>
      <c r="F7">
        <v>3</v>
      </c>
      <c r="G7">
        <v>5</v>
      </c>
      <c r="H7">
        <v>3</v>
      </c>
      <c r="I7">
        <f t="shared" si="0"/>
        <v>30</v>
      </c>
    </row>
    <row r="8" spans="1:14" x14ac:dyDescent="0.25">
      <c r="A8">
        <v>6</v>
      </c>
      <c r="B8">
        <v>2</v>
      </c>
      <c r="C8">
        <v>2</v>
      </c>
      <c r="D8">
        <v>1</v>
      </c>
      <c r="E8">
        <v>2</v>
      </c>
      <c r="F8">
        <v>2</v>
      </c>
      <c r="G8">
        <v>2</v>
      </c>
      <c r="H8">
        <v>1</v>
      </c>
      <c r="I8">
        <f t="shared" si="0"/>
        <v>12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18</v>
      </c>
      <c r="F9">
        <f t="shared" si="1"/>
        <v>17</v>
      </c>
      <c r="G9">
        <f t="shared" si="1"/>
        <v>20</v>
      </c>
      <c r="H9">
        <f t="shared" si="1"/>
        <v>20</v>
      </c>
      <c r="I9">
        <f>SUM(B9:H9)</f>
        <v>144</v>
      </c>
    </row>
    <row r="12" spans="1:14" x14ac:dyDescent="0.25">
      <c r="A12" t="s">
        <v>275</v>
      </c>
      <c r="B12" s="4" t="s">
        <v>84</v>
      </c>
      <c r="C12" s="4" t="s">
        <v>84</v>
      </c>
      <c r="D12" s="4" t="s">
        <v>84</v>
      </c>
      <c r="E12" s="4" t="s">
        <v>84</v>
      </c>
      <c r="F12" s="4" t="s">
        <v>84</v>
      </c>
      <c r="G12" s="4" t="s">
        <v>84</v>
      </c>
      <c r="H12" s="4" t="s">
        <v>84</v>
      </c>
      <c r="I12" s="4" t="s">
        <v>84</v>
      </c>
      <c r="J12" s="4" t="s">
        <v>84</v>
      </c>
      <c r="K12" s="4" t="s">
        <v>84</v>
      </c>
      <c r="L12" s="4" t="s">
        <v>84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D17">
        <v>1</v>
      </c>
      <c r="E17">
        <v>2</v>
      </c>
      <c r="J17">
        <v>1</v>
      </c>
      <c r="N17">
        <f t="shared" si="2"/>
        <v>5</v>
      </c>
    </row>
    <row r="18" spans="1:14" x14ac:dyDescent="0.25">
      <c r="A18">
        <v>6</v>
      </c>
      <c r="K18">
        <v>1</v>
      </c>
      <c r="L18">
        <v>1</v>
      </c>
      <c r="N18">
        <f>SUM(B18:M18)</f>
        <v>2</v>
      </c>
    </row>
    <row r="19" spans="1:14" x14ac:dyDescent="0.25">
      <c r="B19" t="s">
        <v>276</v>
      </c>
      <c r="C19" t="s">
        <v>277</v>
      </c>
      <c r="D19" t="s">
        <v>278</v>
      </c>
      <c r="E19" t="s">
        <v>279</v>
      </c>
      <c r="F19" t="s">
        <v>280</v>
      </c>
      <c r="G19" t="s">
        <v>281</v>
      </c>
      <c r="H19" t="s">
        <v>282</v>
      </c>
      <c r="J19" t="s">
        <v>283</v>
      </c>
      <c r="K19" t="s">
        <v>284</v>
      </c>
      <c r="L19" t="s">
        <v>285</v>
      </c>
      <c r="N19">
        <f>SUM(N13:N18)</f>
        <v>23</v>
      </c>
    </row>
    <row r="20" spans="1:14" x14ac:dyDescent="0.25">
      <c r="B20" t="s">
        <v>286</v>
      </c>
      <c r="C20" t="s">
        <v>287</v>
      </c>
      <c r="D20" t="s">
        <v>288</v>
      </c>
      <c r="E20" t="s">
        <v>289</v>
      </c>
      <c r="F20" t="s">
        <v>290</v>
      </c>
      <c r="G20" t="s">
        <v>291</v>
      </c>
      <c r="H20" t="s">
        <v>292</v>
      </c>
      <c r="J20" t="s">
        <v>293</v>
      </c>
      <c r="K20" t="s">
        <v>294</v>
      </c>
      <c r="L20" t="s">
        <v>295</v>
      </c>
      <c r="M20" s="14"/>
      <c r="N20" s="14">
        <f>COUNTA(B20:L20)</f>
        <v>10</v>
      </c>
    </row>
    <row r="22" spans="1:14" x14ac:dyDescent="0.25">
      <c r="A22" t="s">
        <v>275</v>
      </c>
      <c r="B22" s="5" t="s">
        <v>85</v>
      </c>
      <c r="C22" s="5" t="s">
        <v>85</v>
      </c>
      <c r="D22" s="5" t="s">
        <v>85</v>
      </c>
      <c r="E22" s="5" t="s">
        <v>85</v>
      </c>
      <c r="F22" s="5" t="s">
        <v>85</v>
      </c>
      <c r="G22" s="5" t="s">
        <v>85</v>
      </c>
      <c r="H22" s="5" t="s">
        <v>85</v>
      </c>
      <c r="I22" s="5" t="s">
        <v>85</v>
      </c>
      <c r="J22" s="5" t="s">
        <v>85</v>
      </c>
      <c r="K22" s="5" t="s">
        <v>85</v>
      </c>
      <c r="L22" s="5" t="s">
        <v>85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D27">
        <v>1</v>
      </c>
      <c r="F27">
        <v>1</v>
      </c>
      <c r="I27">
        <v>1</v>
      </c>
      <c r="N27">
        <f t="shared" si="3"/>
        <v>4</v>
      </c>
    </row>
    <row r="28" spans="1:14" x14ac:dyDescent="0.25">
      <c r="A28">
        <v>6</v>
      </c>
      <c r="H28">
        <v>1</v>
      </c>
      <c r="K28">
        <v>1</v>
      </c>
      <c r="N28">
        <f>SUM(B28:M28)</f>
        <v>2</v>
      </c>
    </row>
    <row r="29" spans="1:14" x14ac:dyDescent="0.25">
      <c r="B29" t="s">
        <v>276</v>
      </c>
      <c r="C29" t="s">
        <v>277</v>
      </c>
      <c r="D29" t="s">
        <v>278</v>
      </c>
      <c r="E29" t="s">
        <v>296</v>
      </c>
      <c r="F29" t="s">
        <v>297</v>
      </c>
      <c r="G29" t="s">
        <v>298</v>
      </c>
      <c r="H29" t="s">
        <v>299</v>
      </c>
      <c r="I29" t="s">
        <v>300</v>
      </c>
      <c r="J29" t="s">
        <v>301</v>
      </c>
      <c r="K29" t="s">
        <v>284</v>
      </c>
      <c r="L29" t="s">
        <v>302</v>
      </c>
      <c r="N29">
        <f>SUM(N23:N28)</f>
        <v>23</v>
      </c>
    </row>
    <row r="30" spans="1:14" x14ac:dyDescent="0.25">
      <c r="B30" t="s">
        <v>303</v>
      </c>
      <c r="C30" t="s">
        <v>304</v>
      </c>
      <c r="D30" t="s">
        <v>305</v>
      </c>
      <c r="E30" t="s">
        <v>306</v>
      </c>
      <c r="F30" t="s">
        <v>307</v>
      </c>
      <c r="G30" t="s">
        <v>308</v>
      </c>
      <c r="H30" t="s">
        <v>309</v>
      </c>
      <c r="I30" t="s">
        <v>310</v>
      </c>
      <c r="J30" t="s">
        <v>311</v>
      </c>
      <c r="K30" t="s">
        <v>302</v>
      </c>
      <c r="L30" t="s">
        <v>312</v>
      </c>
      <c r="M30" s="14"/>
      <c r="N30" s="14">
        <f>COUNTA(B30:L30)</f>
        <v>11</v>
      </c>
    </row>
    <row r="32" spans="1:14" x14ac:dyDescent="0.25">
      <c r="A32" t="s">
        <v>275</v>
      </c>
      <c r="B32" s="6" t="s">
        <v>86</v>
      </c>
      <c r="C32" s="6" t="s">
        <v>86</v>
      </c>
      <c r="D32" s="6" t="s">
        <v>86</v>
      </c>
      <c r="E32" s="6" t="s">
        <v>86</v>
      </c>
      <c r="F32" s="6" t="s">
        <v>86</v>
      </c>
      <c r="G32" s="6" t="s">
        <v>86</v>
      </c>
      <c r="H32" s="6" t="s">
        <v>86</v>
      </c>
      <c r="I32" s="6" t="s">
        <v>86</v>
      </c>
      <c r="J32" s="6" t="s">
        <v>86</v>
      </c>
      <c r="K32" s="6" t="s">
        <v>86</v>
      </c>
      <c r="L32" s="6" t="s">
        <v>86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D37">
        <v>1</v>
      </c>
      <c r="F37">
        <v>1</v>
      </c>
      <c r="H37">
        <v>1</v>
      </c>
      <c r="I37">
        <v>1</v>
      </c>
      <c r="J37">
        <v>1</v>
      </c>
      <c r="N37">
        <f t="shared" si="4"/>
        <v>6</v>
      </c>
    </row>
    <row r="38" spans="1:14" x14ac:dyDescent="0.25">
      <c r="A38">
        <v>6</v>
      </c>
      <c r="K38">
        <v>1</v>
      </c>
      <c r="N38">
        <f>SUM(B38:M38)</f>
        <v>1</v>
      </c>
    </row>
    <row r="39" spans="1:14" x14ac:dyDescent="0.25">
      <c r="B39" t="s">
        <v>276</v>
      </c>
      <c r="C39" t="s">
        <v>277</v>
      </c>
      <c r="D39" t="s">
        <v>278</v>
      </c>
      <c r="E39" t="s">
        <v>313</v>
      </c>
      <c r="F39" t="s">
        <v>314</v>
      </c>
      <c r="G39" t="s">
        <v>315</v>
      </c>
      <c r="H39" t="s">
        <v>316</v>
      </c>
      <c r="I39" t="s">
        <v>297</v>
      </c>
      <c r="J39" t="s">
        <v>317</v>
      </c>
      <c r="K39" t="s">
        <v>284</v>
      </c>
      <c r="L39" t="s">
        <v>301</v>
      </c>
      <c r="N39">
        <f>SUM(N33:N38)</f>
        <v>23</v>
      </c>
    </row>
    <row r="40" spans="1:14" x14ac:dyDescent="0.25">
      <c r="B40" t="s">
        <v>318</v>
      </c>
      <c r="C40" t="s">
        <v>319</v>
      </c>
      <c r="D40" t="s">
        <v>320</v>
      </c>
      <c r="E40" t="s">
        <v>321</v>
      </c>
      <c r="F40" t="s">
        <v>322</v>
      </c>
      <c r="G40" t="s">
        <v>323</v>
      </c>
      <c r="H40" t="s">
        <v>324</v>
      </c>
      <c r="I40" t="s">
        <v>325</v>
      </c>
      <c r="J40" t="s">
        <v>326</v>
      </c>
      <c r="K40" t="s">
        <v>327</v>
      </c>
      <c r="L40" t="s">
        <v>328</v>
      </c>
      <c r="M40" s="14"/>
      <c r="N40" s="14">
        <f>COUNTA(B40:L40)</f>
        <v>11</v>
      </c>
    </row>
    <row r="42" spans="1:14" x14ac:dyDescent="0.25">
      <c r="A42" t="s">
        <v>275</v>
      </c>
      <c r="B42" s="7" t="s">
        <v>87</v>
      </c>
      <c r="C42" s="7" t="s">
        <v>87</v>
      </c>
      <c r="D42" s="7" t="s">
        <v>87</v>
      </c>
      <c r="E42" s="7" t="s">
        <v>87</v>
      </c>
      <c r="F42" s="7" t="s">
        <v>87</v>
      </c>
      <c r="G42" s="7" t="s">
        <v>87</v>
      </c>
      <c r="H42" s="7" t="s">
        <v>87</v>
      </c>
      <c r="I42" s="7" t="s">
        <v>87</v>
      </c>
      <c r="J42" s="7" t="s">
        <v>87</v>
      </c>
      <c r="K42" s="7" t="s">
        <v>87</v>
      </c>
      <c r="L42" s="7" t="s">
        <v>87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K48">
        <v>1</v>
      </c>
      <c r="N48">
        <f>SUM(B48:M48)</f>
        <v>2</v>
      </c>
    </row>
    <row r="49" spans="1:14" x14ac:dyDescent="0.25">
      <c r="B49" t="s">
        <v>297</v>
      </c>
      <c r="C49" t="s">
        <v>285</v>
      </c>
      <c r="D49" t="s">
        <v>329</v>
      </c>
      <c r="E49" t="s">
        <v>330</v>
      </c>
      <c r="F49" t="s">
        <v>331</v>
      </c>
      <c r="G49" t="s">
        <v>332</v>
      </c>
      <c r="H49" t="s">
        <v>333</v>
      </c>
      <c r="I49" t="s">
        <v>285</v>
      </c>
      <c r="J49" t="s">
        <v>334</v>
      </c>
      <c r="K49" t="s">
        <v>284</v>
      </c>
      <c r="N49">
        <f>SUM(N43:N48)</f>
        <v>18</v>
      </c>
    </row>
    <row r="50" spans="1:14" x14ac:dyDescent="0.25">
      <c r="B50" t="s">
        <v>335</v>
      </c>
      <c r="C50" t="s">
        <v>336</v>
      </c>
      <c r="D50" t="s">
        <v>337</v>
      </c>
      <c r="E50" t="s">
        <v>338</v>
      </c>
      <c r="F50" t="s">
        <v>339</v>
      </c>
      <c r="G50" t="s">
        <v>340</v>
      </c>
      <c r="H50" t="s">
        <v>341</v>
      </c>
      <c r="I50" t="s">
        <v>342</v>
      </c>
      <c r="J50" t="s">
        <v>343</v>
      </c>
      <c r="K50" t="s">
        <v>344</v>
      </c>
      <c r="M50" s="14"/>
      <c r="N50" s="14">
        <f>COUNTA(B50:K50)</f>
        <v>10</v>
      </c>
    </row>
    <row r="52" spans="1:14" x14ac:dyDescent="0.25">
      <c r="A52" t="s">
        <v>275</v>
      </c>
      <c r="B52" s="8" t="s">
        <v>88</v>
      </c>
      <c r="C52" s="8" t="s">
        <v>88</v>
      </c>
      <c r="D52" s="8" t="s">
        <v>88</v>
      </c>
      <c r="E52" s="8" t="s">
        <v>88</v>
      </c>
      <c r="F52" s="8" t="s">
        <v>88</v>
      </c>
      <c r="G52" s="8" t="s">
        <v>88</v>
      </c>
      <c r="H52" s="8" t="s">
        <v>88</v>
      </c>
      <c r="I52" s="8" t="s">
        <v>88</v>
      </c>
      <c r="J52" s="8" t="s">
        <v>88</v>
      </c>
      <c r="K52" s="8" t="s">
        <v>88</v>
      </c>
      <c r="L52" s="8" t="s">
        <v>88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H55">
        <v>1</v>
      </c>
      <c r="I55">
        <v>1</v>
      </c>
      <c r="J55">
        <v>1</v>
      </c>
      <c r="N55">
        <f t="shared" si="6"/>
        <v>4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H57">
        <v>1</v>
      </c>
      <c r="N57">
        <f t="shared" si="6"/>
        <v>3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297</v>
      </c>
      <c r="C59" t="s">
        <v>345</v>
      </c>
      <c r="D59" t="s">
        <v>346</v>
      </c>
      <c r="E59" t="s">
        <v>347</v>
      </c>
      <c r="F59" t="s">
        <v>348</v>
      </c>
      <c r="I59" t="s">
        <v>349</v>
      </c>
      <c r="J59" t="s">
        <v>349</v>
      </c>
      <c r="K59" t="s">
        <v>301</v>
      </c>
      <c r="L59" t="s">
        <v>284</v>
      </c>
      <c r="N59">
        <f>SUM(N53:N58)</f>
        <v>17</v>
      </c>
    </row>
    <row r="60" spans="1:14" x14ac:dyDescent="0.25">
      <c r="B60" t="s">
        <v>350</v>
      </c>
      <c r="C60" t="s">
        <v>351</v>
      </c>
      <c r="D60" t="s">
        <v>352</v>
      </c>
      <c r="E60" t="s">
        <v>353</v>
      </c>
      <c r="F60" t="s">
        <v>354</v>
      </c>
      <c r="H60" t="s">
        <v>355</v>
      </c>
      <c r="I60" t="s">
        <v>356</v>
      </c>
      <c r="J60" t="s">
        <v>357</v>
      </c>
      <c r="K60" t="s">
        <v>358</v>
      </c>
      <c r="L60" t="s">
        <v>359</v>
      </c>
      <c r="M60" s="14"/>
      <c r="N60" s="14">
        <f>COUNTA(B60:L60)</f>
        <v>10</v>
      </c>
    </row>
    <row r="62" spans="1:14" x14ac:dyDescent="0.25">
      <c r="A62" t="s">
        <v>275</v>
      </c>
      <c r="B62" s="10" t="s">
        <v>95</v>
      </c>
      <c r="C62" s="10" t="s">
        <v>95</v>
      </c>
      <c r="D62" s="10" t="s">
        <v>95</v>
      </c>
      <c r="E62" s="10" t="s">
        <v>95</v>
      </c>
      <c r="F62" s="10" t="s">
        <v>95</v>
      </c>
      <c r="G62" s="10" t="s">
        <v>95</v>
      </c>
      <c r="H62" s="10" t="s">
        <v>95</v>
      </c>
      <c r="I62" s="10" t="s">
        <v>95</v>
      </c>
      <c r="J62" s="10" t="s">
        <v>95</v>
      </c>
      <c r="K62" s="10" t="s">
        <v>95</v>
      </c>
      <c r="L62" s="10" t="s">
        <v>95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N64">
        <f t="shared" si="7"/>
        <v>3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I67">
        <v>1</v>
      </c>
      <c r="N67">
        <f t="shared" si="7"/>
        <v>5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360</v>
      </c>
      <c r="C69" t="s">
        <v>40</v>
      </c>
      <c r="D69" t="s">
        <v>44</v>
      </c>
      <c r="E69" t="s">
        <v>361</v>
      </c>
      <c r="F69" t="s">
        <v>42</v>
      </c>
      <c r="G69" t="s">
        <v>362</v>
      </c>
      <c r="H69" t="s">
        <v>363</v>
      </c>
      <c r="I69" t="s">
        <v>43</v>
      </c>
      <c r="J69" t="s">
        <v>284</v>
      </c>
      <c r="N69">
        <f>SUM(N63:N68)</f>
        <v>20</v>
      </c>
    </row>
    <row r="70" spans="1:14" x14ac:dyDescent="0.25">
      <c r="B70" t="s">
        <v>364</v>
      </c>
      <c r="C70" t="s">
        <v>365</v>
      </c>
      <c r="D70" t="s">
        <v>366</v>
      </c>
      <c r="E70" t="s">
        <v>367</v>
      </c>
      <c r="F70" t="s">
        <v>368</v>
      </c>
      <c r="G70" t="s">
        <v>369</v>
      </c>
      <c r="H70" t="s">
        <v>370</v>
      </c>
      <c r="I70" t="s">
        <v>371</v>
      </c>
      <c r="J70" t="s">
        <v>372</v>
      </c>
      <c r="M70" s="14"/>
      <c r="N70" s="14">
        <f>COUNTA(B70:L70)</f>
        <v>9</v>
      </c>
    </row>
    <row r="72" spans="1:14" x14ac:dyDescent="0.25">
      <c r="A72" t="s">
        <v>275</v>
      </c>
      <c r="B72" s="9" t="s">
        <v>90</v>
      </c>
      <c r="C72" s="9" t="s">
        <v>90</v>
      </c>
      <c r="D72" s="9" t="s">
        <v>90</v>
      </c>
      <c r="E72" s="9" t="s">
        <v>90</v>
      </c>
      <c r="F72" s="9" t="s">
        <v>90</v>
      </c>
      <c r="G72" s="9" t="s">
        <v>90</v>
      </c>
      <c r="H72" s="9" t="s">
        <v>90</v>
      </c>
      <c r="I72" s="9" t="s">
        <v>90</v>
      </c>
      <c r="J72" s="9" t="s">
        <v>90</v>
      </c>
      <c r="K72" s="9" t="s">
        <v>90</v>
      </c>
      <c r="L72" s="9" t="s">
        <v>90</v>
      </c>
      <c r="M72" s="9" t="s">
        <v>90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H77">
        <v>1</v>
      </c>
      <c r="J77">
        <v>1</v>
      </c>
      <c r="N77">
        <f t="shared" si="8"/>
        <v>3</v>
      </c>
    </row>
    <row r="78" spans="1:14" x14ac:dyDescent="0.25">
      <c r="A78">
        <v>6</v>
      </c>
      <c r="F78">
        <v>1</v>
      </c>
      <c r="N78">
        <f>SUM(B78:M78)</f>
        <v>1</v>
      </c>
    </row>
    <row r="79" spans="1:14" x14ac:dyDescent="0.25">
      <c r="B79" t="s">
        <v>373</v>
      </c>
      <c r="C79" t="s">
        <v>253</v>
      </c>
      <c r="D79" t="s">
        <v>374</v>
      </c>
      <c r="E79" t="s">
        <v>375</v>
      </c>
      <c r="F79" s="15" t="s">
        <v>376</v>
      </c>
      <c r="G79" t="s">
        <v>377</v>
      </c>
      <c r="H79" t="s">
        <v>331</v>
      </c>
      <c r="I79" t="s">
        <v>378</v>
      </c>
      <c r="J79" t="s">
        <v>394</v>
      </c>
      <c r="K79" t="s">
        <v>379</v>
      </c>
      <c r="L79" t="s">
        <v>380</v>
      </c>
      <c r="M79" t="s">
        <v>381</v>
      </c>
      <c r="N79">
        <f>SUM(N73:N78)</f>
        <v>20</v>
      </c>
    </row>
    <row r="80" spans="1:14" x14ac:dyDescent="0.25">
      <c r="B80" t="s">
        <v>382</v>
      </c>
      <c r="C80" t="s">
        <v>383</v>
      </c>
      <c r="D80" t="s">
        <v>384</v>
      </c>
      <c r="E80" t="s">
        <v>385</v>
      </c>
      <c r="F80" t="s">
        <v>386</v>
      </c>
      <c r="G80" t="s">
        <v>387</v>
      </c>
      <c r="H80" t="s">
        <v>388</v>
      </c>
      <c r="I80" t="s">
        <v>389</v>
      </c>
      <c r="J80" t="s">
        <v>390</v>
      </c>
      <c r="K80" t="s">
        <v>391</v>
      </c>
      <c r="L80" t="s">
        <v>392</v>
      </c>
      <c r="M80" t="s">
        <v>393</v>
      </c>
      <c r="N80" s="1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Ability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2026-04-15T13:55:44Z</dcterms:modified>
</cp:coreProperties>
</file>